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nti\excel nti p\"/>
    </mc:Choice>
  </mc:AlternateContent>
  <xr:revisionPtr revIDLastSave="0" documentId="13_ncr:1_{E002DAA1-1817-48C2-BB48-7E11E8EDBB0E}" xr6:coauthVersionLast="47" xr6:coauthVersionMax="47" xr10:uidLastSave="{00000000-0000-0000-0000-000000000000}"/>
  <bookViews>
    <workbookView xWindow="-108" yWindow="-108" windowWidth="23256" windowHeight="12456" firstSheet="1" activeTab="3" xr2:uid="{52CF59B3-5D4B-4BAC-9360-AB31B7CA9B4B}"/>
  </bookViews>
  <sheets>
    <sheet name="life expectancy (2)" sheetId="3" r:id="rId1"/>
    <sheet name="pivot1" sheetId="2" r:id="rId2"/>
    <sheet name="dashboard1" sheetId="4" r:id="rId3"/>
    <sheet name="final db" sheetId="5" r:id="rId4"/>
  </sheets>
  <definedNames>
    <definedName name="ExternalData_1" localSheetId="0" hidden="1">'life expectancy (2)'!$A$1:$Q$296</definedName>
    <definedName name="NativeTimeline_DATE">#N/A</definedName>
    <definedName name="Slicer_IncomeGroup">#N/A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3" l="1"/>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161CF7-26E5-488F-B267-CFF4CFCC63C8}" keepAlive="1" name="Query - life expectancy" description="Connection to the 'life expectancy' query in the workbook." type="5" refreshedVersion="8" background="1" saveData="1">
    <dbPr connection="Provider=Microsoft.Mashup.OleDb.1;Data Source=$Workbook$;Location=&quot;life expectancy&quot;;Extended Properties=&quot;&quot;" command="SELECT * FROM [life expectancy]"/>
  </connection>
  <connection id="2" xr16:uid="{BB68B630-FAEE-4700-B2BD-0015833DEADC}" keepAlive="1" name="Query - spotify_2015_2025_85k" description="Connection to the 'spotify_2015_2025_85k' query in the workbook." type="5" refreshedVersion="0" background="1">
    <dbPr connection="Provider=Microsoft.Mashup.OleDb.1;Data Source=$Workbook$;Location=spotify_2015_2025_85k;Extended Properties=&quot;&quot;" command="SELECT * FROM [spotify_2015_2025_85k]"/>
  </connection>
</connections>
</file>

<file path=xl/sharedStrings.xml><?xml version="1.0" encoding="utf-8"?>
<sst xmlns="http://schemas.openxmlformats.org/spreadsheetml/2006/main" count="1599" uniqueCount="97">
  <si>
    <t>Row Labels</t>
  </si>
  <si>
    <t>Average of Life Expectancy World Bank</t>
  </si>
  <si>
    <t>Average of Health Expenditure %</t>
  </si>
  <si>
    <t>Count of Communicable</t>
  </si>
  <si>
    <t>Albania</t>
  </si>
  <si>
    <t>Armenia</t>
  </si>
  <si>
    <t>Azerbaijan</t>
  </si>
  <si>
    <t>Bangladesh</t>
  </si>
  <si>
    <t>Bolivia</t>
  </si>
  <si>
    <t>Georgia</t>
  </si>
  <si>
    <t>Honduras</t>
  </si>
  <si>
    <t>Mongolia</t>
  </si>
  <si>
    <t>Nepal</t>
  </si>
  <si>
    <t>Samoa</t>
  </si>
  <si>
    <t>Grand Total</t>
  </si>
  <si>
    <t>East Asia &amp; Pacific</t>
  </si>
  <si>
    <t>Europe &amp; Central Asia</t>
  </si>
  <si>
    <t>Latin America &amp; Caribbean</t>
  </si>
  <si>
    <t>Middle East &amp; North Africa</t>
  </si>
  <si>
    <t>South Asia</t>
  </si>
  <si>
    <t>Sub-Saharan Africa</t>
  </si>
  <si>
    <t>Central African Republic</t>
  </si>
  <si>
    <t>Ethiopia</t>
  </si>
  <si>
    <t>Ghana</t>
  </si>
  <si>
    <t>Madagascar</t>
  </si>
  <si>
    <t>Mali</t>
  </si>
  <si>
    <t>Sao Tome and Principe</t>
  </si>
  <si>
    <t>Senegal</t>
  </si>
  <si>
    <t>Sierra Leone</t>
  </si>
  <si>
    <t>Tanzania</t>
  </si>
  <si>
    <t>Togo</t>
  </si>
  <si>
    <t>Djibouti</t>
  </si>
  <si>
    <t>India</t>
  </si>
  <si>
    <t>Kiribati</t>
  </si>
  <si>
    <t>Malawi</t>
  </si>
  <si>
    <t>Myanmar</t>
  </si>
  <si>
    <t>Country Name</t>
  </si>
  <si>
    <t>Country Code</t>
  </si>
  <si>
    <t>Region</t>
  </si>
  <si>
    <t>IncomeGroup</t>
  </si>
  <si>
    <t>Year</t>
  </si>
  <si>
    <t>Life Expectancy World Bank</t>
  </si>
  <si>
    <t>Prevelance of Undernourishment</t>
  </si>
  <si>
    <t>CO2</t>
  </si>
  <si>
    <t>Health Expenditure %</t>
  </si>
  <si>
    <t>Education Expenditure %</t>
  </si>
  <si>
    <t>Unemployment</t>
  </si>
  <si>
    <t>Corruption</t>
  </si>
  <si>
    <t>Sanitation</t>
  </si>
  <si>
    <t>Injuries</t>
  </si>
  <si>
    <t>Communicable</t>
  </si>
  <si>
    <t>NonCommunicable</t>
  </si>
  <si>
    <t>ALB</t>
  </si>
  <si>
    <t>Upper middle income</t>
  </si>
  <si>
    <t>3.0</t>
  </si>
  <si>
    <t>ARM</t>
  </si>
  <si>
    <t>2.5</t>
  </si>
  <si>
    <t>AZE</t>
  </si>
  <si>
    <t>CAF</t>
  </si>
  <si>
    <t>Low income</t>
  </si>
  <si>
    <t>DJI</t>
  </si>
  <si>
    <t>Lower middle income</t>
  </si>
  <si>
    <t>GEO</t>
  </si>
  <si>
    <t>3.5</t>
  </si>
  <si>
    <t>GHA</t>
  </si>
  <si>
    <t>IND</t>
  </si>
  <si>
    <t>Lesotho</t>
  </si>
  <si>
    <t>LSO</t>
  </si>
  <si>
    <t>MDG</t>
  </si>
  <si>
    <t>MLI</t>
  </si>
  <si>
    <t>NPL</t>
  </si>
  <si>
    <t>SEN</t>
  </si>
  <si>
    <t>SLE</t>
  </si>
  <si>
    <t>STP</t>
  </si>
  <si>
    <t>Chad</t>
  </si>
  <si>
    <t>TCD</t>
  </si>
  <si>
    <t>2.0</t>
  </si>
  <si>
    <t>TGO</t>
  </si>
  <si>
    <t>TZA</t>
  </si>
  <si>
    <t>BGD</t>
  </si>
  <si>
    <t>ETH</t>
  </si>
  <si>
    <t>4.0</t>
  </si>
  <si>
    <t>MNG</t>
  </si>
  <si>
    <t>WSM</t>
  </si>
  <si>
    <t>BOL</t>
  </si>
  <si>
    <t>HND</t>
  </si>
  <si>
    <t>MWI</t>
  </si>
  <si>
    <t>KIR</t>
  </si>
  <si>
    <t>MMR</t>
  </si>
  <si>
    <t>Average of Education Expenditure %</t>
  </si>
  <si>
    <t>Average of Unemployment</t>
  </si>
  <si>
    <t>Average of Prevelance of Undernourishment</t>
  </si>
  <si>
    <t>Count of NonCommunicable</t>
  </si>
  <si>
    <t>DATE</t>
  </si>
  <si>
    <t>Count of Country Code</t>
  </si>
  <si>
    <t xml:space="preserve"> </t>
  </si>
  <si>
    <t>Count of Corruption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</si>
</sst>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6"/>
      <color theme="0" tint="-0.14999847407452621"/>
      <name val="Aptos Narrow"/>
      <family val="2"/>
      <scheme val="minor"/>
    </font>
    <font>
      <sz val="26"/>
      <color theme="0" tint="-0.1499984740745262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0" fontId="0" fillId="33" borderId="0" xfId="0" applyFill="1"/>
    <xf numFmtId="0" fontId="0" fillId="33" borderId="0" xfId="0" applyFill="1" applyAlignment="1">
      <alignment horizontal="left"/>
    </xf>
    <xf numFmtId="14" fontId="0" fillId="0" borderId="0" xfId="0" applyNumberFormat="1"/>
    <xf numFmtId="1" fontId="0" fillId="0" borderId="0" xfId="0" applyNumberFormat="1"/>
    <xf numFmtId="1" fontId="18" fillId="0" borderId="0" xfId="0" applyNumberFormat="1" applyFont="1" applyAlignment="1">
      <alignment horizontal="center" vertical="center"/>
    </xf>
    <xf numFmtId="1" fontId="18" fillId="0" borderId="0" xfId="0" applyNumberFormat="1" applyFont="1" applyAlignment="1">
      <alignment horizontal="center"/>
    </xf>
    <xf numFmtId="0" fontId="0" fillId="0" borderId="0" xfId="0" applyAlignment="1">
      <alignment horizontal="center"/>
    </xf>
    <xf numFmtId="1" fontId="19" fillId="0" borderId="0" xfId="0" applyNumberFormat="1"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5">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C00000"/>
        </patternFill>
      </fill>
    </dxf>
    <dxf>
      <fill>
        <patternFill patternType="solid">
          <bgColor rgb="FFC0000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C00000"/>
        </patternFill>
      </fill>
    </dxf>
    <dxf>
      <fill>
        <patternFill patternType="solid">
          <bgColor rgb="FFC0000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C00000"/>
        </patternFill>
      </fill>
    </dxf>
    <dxf>
      <fill>
        <patternFill patternType="solid">
          <bgColor rgb="FFC00000"/>
        </patternFill>
      </fill>
    </dxf>
    <dxf>
      <font>
        <sz val="26"/>
      </font>
    </dxf>
    <dxf>
      <alignment vertical="center"/>
    </dxf>
    <dxf>
      <alignment horizontal="center"/>
    </dxf>
    <dxf>
      <font>
        <color theme="0" tint="-0.14999847407452621"/>
      </font>
    </dxf>
    <dxf>
      <font>
        <sz val="26"/>
      </font>
    </dxf>
    <dxf>
      <font>
        <color theme="0" tint="-0.14999847407452621"/>
      </font>
    </dxf>
    <dxf>
      <font>
        <b/>
      </font>
    </dxf>
    <dxf>
      <alignment vertical="center"/>
    </dxf>
    <dxf>
      <alignment horizontal="center"/>
    </dxf>
    <dxf>
      <alignment horizontal="center"/>
    </dxf>
    <dxf>
      <font>
        <color theme="0" tint="-0.14999847407452621"/>
      </font>
    </dxf>
    <dxf>
      <font>
        <color theme="0" tint="-0.14999847407452621"/>
      </font>
    </dxf>
    <dxf>
      <font>
        <b/>
      </font>
    </dxf>
    <dxf>
      <font>
        <b/>
      </font>
    </dxf>
    <dxf>
      <font>
        <sz val="26"/>
      </font>
    </dxf>
    <dxf>
      <alignment vertical="center"/>
    </dxf>
    <dxf>
      <alignment horizontal="center"/>
    </dxf>
    <dxf>
      <font>
        <sz val="26"/>
      </font>
    </dxf>
    <dxf>
      <font>
        <sz val="26"/>
      </font>
    </dxf>
    <dxf>
      <alignment horizontal="center"/>
    </dxf>
    <dxf>
      <numFmt numFmtId="1" formatCode="0"/>
    </dxf>
    <dxf>
      <fill>
        <patternFill>
          <bgColor theme="0"/>
        </patternFill>
      </fill>
    </dxf>
    <dxf>
      <fill>
        <patternFill>
          <bgColor theme="0"/>
        </patternFill>
      </fill>
    </dxf>
    <dxf>
      <fill>
        <patternFill>
          <bgColor theme="0"/>
        </patternFill>
      </fill>
    </dxf>
    <dxf>
      <fill>
        <patternFill>
          <bgColor theme="0"/>
        </patternFill>
      </fil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font>
        <b/>
        <sz val="11"/>
        <color theme="1"/>
      </font>
    </dxf>
    <dxf>
      <font>
        <color theme="2" tint="-0.499984740745262"/>
      </font>
      <fill>
        <gradientFill degree="270">
          <stop position="0">
            <color theme="0"/>
          </stop>
          <stop position="1">
            <color theme="3" tint="0.25098422193060094"/>
          </stop>
        </gradientFill>
      </fill>
      <border>
        <left style="thin">
          <color theme="1" tint="-0.499984740745262"/>
        </left>
        <right style="thin">
          <color theme="1" tint="-0.499984740745262"/>
        </right>
        <top style="thin">
          <color theme="1" tint="-0.499984740745262"/>
        </top>
        <bottom style="thin">
          <color theme="1" tint="-0.499984740745262"/>
        </bottom>
      </border>
    </dxf>
    <dxf>
      <fill>
        <gradientFill degree="90">
          <stop position="0">
            <color theme="3" tint="9.8025452436902985E-2"/>
          </stop>
          <stop position="1">
            <color theme="4"/>
          </stop>
        </gradientFill>
      </fill>
    </dxf>
    <dxf>
      <fill>
        <gradientFill degree="270">
          <stop position="0">
            <color theme="0"/>
          </stop>
          <stop position="1">
            <color theme="4"/>
          </stop>
        </gradientFill>
      </fill>
    </dxf>
    <dxf>
      <fill>
        <gradientFill degree="270">
          <stop position="0">
            <color theme="9" tint="0.59999389629810485"/>
          </stop>
          <stop position="1">
            <color theme="9" tint="-0.25098422193060094"/>
          </stop>
        </gradientFill>
      </fill>
    </dxf>
  </dxfs>
  <tableStyles count="3" defaultTableStyle="TableStyleMedium2" defaultPivotStyle="PivotStyleLight16">
    <tableStyle name="Slicer Style 1" pivot="0" table="0" count="3" xr9:uid="{87B3D3FD-B408-43E9-92CC-C4EE6FE01646}">
      <tableStyleElement type="wholeTable" dxfId="54"/>
    </tableStyle>
    <tableStyle name="Slicer Style 2" pivot="0" table="0" count="4" xr9:uid="{DFB0B118-28BE-49E9-82A9-5DA68C28FF6A}">
      <tableStyleElement type="wholeTable" dxfId="53"/>
      <tableStyleElement type="headerRow" dxfId="52"/>
    </tableStyle>
    <tableStyle name="Timeline Style 1" pivot="0" table="0" count="8" xr9:uid="{14BD6422-C95E-40CD-B415-A6CFBF2F1BC1}">
      <tableStyleElement type="wholeTable" dxfId="51"/>
      <tableStyleElement type="headerRow" dxfId="50"/>
    </tableStyle>
  </tableStyles>
  <colors>
    <mruColors>
      <color rgb="FF000000"/>
    </mruColors>
  </colors>
  <extLst>
    <ext xmlns:x14="http://schemas.microsoft.com/office/spreadsheetml/2009/9/main" uri="{46F421CA-312F-682f-3DD2-61675219B42D}">
      <x14:dxfs count="4">
        <dxf>
          <fill>
            <gradientFill degree="90">
              <stop position="0">
                <color theme="3" tint="0.89803765984069339"/>
              </stop>
              <stop position="1">
                <color theme="4"/>
              </stop>
            </gradientFill>
          </fill>
        </dxf>
        <dxf>
          <fill>
            <gradientFill degree="90">
              <stop position="0">
                <color theme="3" tint="0.74901577806939912"/>
              </stop>
              <stop position="1">
                <color theme="4"/>
              </stop>
            </gradientFill>
          </fill>
        </dxf>
        <dxf>
          <fill>
            <patternFill>
              <bgColor theme="2" tint="-0.24994659260841701"/>
            </patternFill>
          </fill>
        </dxf>
        <dxf>
          <fill>
            <patternFill>
              <bgColor theme="1"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s>
        </x14:slicerStyle>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6">
        <dxf>
          <fill>
            <gradientFill degree="90">
              <stop position="0">
                <color theme="3" tint="0.74901577806939912"/>
              </stop>
              <stop position="1">
                <color theme="4"/>
              </stop>
            </gradientFill>
          </fill>
        </dxf>
        <dxf>
          <fill>
            <gradientFill degree="90">
              <stop position="0">
                <color theme="3" tint="0.49803155613879818"/>
              </stop>
              <stop position="1">
                <color theme="3" tint="0.25098422193060094"/>
              </stop>
            </gradientFill>
          </fill>
        </dxf>
        <dxf>
          <font>
            <sz val="9"/>
            <color theme="1" tint="0.499984740745262"/>
          </font>
        </dxf>
        <dxf>
          <font>
            <sz val="9"/>
            <color theme="1" tint="0.499984740745262"/>
          </font>
        </dxf>
        <dxf>
          <font>
            <sz val="9"/>
            <color theme="0" tint="-4.9989318521683403E-2"/>
            <name val="Aptos Narrow"/>
            <family val="2"/>
            <scheme val="minor"/>
          </font>
        </dxf>
        <dxf>
          <font>
            <sz val="10"/>
            <color theme="0" tint="-0.14996795556505021"/>
            <name val="Aptos Narrow"/>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expectancy.xlsx]pivot1!PivotTable1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pivot1!$B$1</c:f>
              <c:strCache>
                <c:ptCount val="1"/>
                <c:pt idx="0">
                  <c:v>Total</c:v>
                </c:pt>
              </c:strCache>
            </c:strRef>
          </c:tx>
          <c:spPr>
            <a:solidFill>
              <a:schemeClr val="accent1"/>
            </a:solidFill>
            <a:ln>
              <a:noFill/>
            </a:ln>
            <a:effectLst/>
          </c:spPr>
          <c:invertIfNegative val="0"/>
          <c:cat>
            <c:strRef>
              <c:f>pivot1!$A$2:$A$12</c:f>
              <c:strCache>
                <c:ptCount val="10"/>
                <c:pt idx="0">
                  <c:v>Albania</c:v>
                </c:pt>
                <c:pt idx="1">
                  <c:v>Armenia</c:v>
                </c:pt>
                <c:pt idx="2">
                  <c:v>Azerbaijan</c:v>
                </c:pt>
                <c:pt idx="3">
                  <c:v>Georgia</c:v>
                </c:pt>
                <c:pt idx="4">
                  <c:v>Ghana</c:v>
                </c:pt>
                <c:pt idx="5">
                  <c:v>India</c:v>
                </c:pt>
                <c:pt idx="6">
                  <c:v>Madagascar</c:v>
                </c:pt>
                <c:pt idx="7">
                  <c:v>Nepal</c:v>
                </c:pt>
                <c:pt idx="8">
                  <c:v>Sao Tome and Principe</c:v>
                </c:pt>
                <c:pt idx="9">
                  <c:v>Senegal</c:v>
                </c:pt>
              </c:strCache>
            </c:strRef>
          </c:cat>
          <c:val>
            <c:numRef>
              <c:f>pivot1!$B$2:$B$12</c:f>
              <c:numCache>
                <c:formatCode>General</c:formatCode>
                <c:ptCount val="10"/>
                <c:pt idx="0">
                  <c:v>75.227999999999994</c:v>
                </c:pt>
                <c:pt idx="1">
                  <c:v>72.626000000000005</c:v>
                </c:pt>
                <c:pt idx="2">
                  <c:v>68.747</c:v>
                </c:pt>
                <c:pt idx="3">
                  <c:v>70.537999999999997</c:v>
                </c:pt>
                <c:pt idx="4">
                  <c:v>58.719000000000001</c:v>
                </c:pt>
                <c:pt idx="5">
                  <c:v>64.5</c:v>
                </c:pt>
                <c:pt idx="6">
                  <c:v>61.212000000000003</c:v>
                </c:pt>
                <c:pt idx="7">
                  <c:v>65.263999999999996</c:v>
                </c:pt>
                <c:pt idx="8">
                  <c:v>64.659000000000006</c:v>
                </c:pt>
                <c:pt idx="9">
                  <c:v>60.62</c:v>
                </c:pt>
              </c:numCache>
            </c:numRef>
          </c:val>
          <c:extLst>
            <c:ext xmlns:c16="http://schemas.microsoft.com/office/drawing/2014/chart" uri="{C3380CC4-5D6E-409C-BE32-E72D297353CC}">
              <c16:uniqueId val="{00000006-79D9-4615-A2EA-0830DB3D25BD}"/>
            </c:ext>
          </c:extLst>
        </c:ser>
        <c:dLbls>
          <c:showLegendKey val="0"/>
          <c:showVal val="0"/>
          <c:showCatName val="0"/>
          <c:showSerName val="0"/>
          <c:showPercent val="0"/>
          <c:showBubbleSize val="0"/>
        </c:dLbls>
        <c:gapWidth val="219"/>
        <c:overlap val="-27"/>
        <c:axId val="867173967"/>
        <c:axId val="867171567"/>
      </c:barChart>
      <c:catAx>
        <c:axId val="86717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171567"/>
        <c:crosses val="autoZero"/>
        <c:auto val="1"/>
        <c:lblAlgn val="ctr"/>
        <c:lblOffset val="100"/>
        <c:noMultiLvlLbl val="0"/>
      </c:catAx>
      <c:valAx>
        <c:axId val="867171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17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expectancy.xlsx]pivot1!PivotTable2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pivot1!$B$14</c:f>
              <c:strCache>
                <c:ptCount val="1"/>
                <c:pt idx="0">
                  <c:v>Total</c:v>
                </c:pt>
              </c:strCache>
            </c:strRef>
          </c:tx>
          <c:spPr>
            <a:solidFill>
              <a:schemeClr val="accent1"/>
            </a:solidFill>
            <a:ln>
              <a:noFill/>
            </a:ln>
            <a:effectLst/>
          </c:spPr>
          <c:invertIfNegative val="0"/>
          <c:cat>
            <c:strRef>
              <c:f>pivot1!$A$15:$A$25</c:f>
              <c:strCache>
                <c:ptCount val="10"/>
                <c:pt idx="0">
                  <c:v>Central African Republic</c:v>
                </c:pt>
                <c:pt idx="1">
                  <c:v>Chad</c:v>
                </c:pt>
                <c:pt idx="2">
                  <c:v>Djibouti</c:v>
                </c:pt>
                <c:pt idx="3">
                  <c:v>Ghana</c:v>
                </c:pt>
                <c:pt idx="4">
                  <c:v>Lesotho</c:v>
                </c:pt>
                <c:pt idx="5">
                  <c:v>Mali</c:v>
                </c:pt>
                <c:pt idx="6">
                  <c:v>Senegal</c:v>
                </c:pt>
                <c:pt idx="7">
                  <c:v>Sierra Leone</c:v>
                </c:pt>
                <c:pt idx="8">
                  <c:v>Tanzania</c:v>
                </c:pt>
                <c:pt idx="9">
                  <c:v>Togo</c:v>
                </c:pt>
              </c:strCache>
            </c:strRef>
          </c:cat>
          <c:val>
            <c:numRef>
              <c:f>pivot1!$B$15:$B$25</c:f>
              <c:numCache>
                <c:formatCode>General</c:formatCode>
                <c:ptCount val="10"/>
                <c:pt idx="0">
                  <c:v>44.744</c:v>
                </c:pt>
                <c:pt idx="1">
                  <c:v>48.548999999999999</c:v>
                </c:pt>
                <c:pt idx="2">
                  <c:v>57.991</c:v>
                </c:pt>
                <c:pt idx="3">
                  <c:v>58.719000000000001</c:v>
                </c:pt>
                <c:pt idx="4">
                  <c:v>42.658000000000001</c:v>
                </c:pt>
                <c:pt idx="5">
                  <c:v>52.057000000000002</c:v>
                </c:pt>
                <c:pt idx="6">
                  <c:v>60.62</c:v>
                </c:pt>
                <c:pt idx="7">
                  <c:v>44.502000000000002</c:v>
                </c:pt>
                <c:pt idx="8">
                  <c:v>54.348999999999997</c:v>
                </c:pt>
                <c:pt idx="9">
                  <c:v>54.601999999999997</c:v>
                </c:pt>
              </c:numCache>
            </c:numRef>
          </c:val>
          <c:extLst>
            <c:ext xmlns:c16="http://schemas.microsoft.com/office/drawing/2014/chart" uri="{C3380CC4-5D6E-409C-BE32-E72D297353CC}">
              <c16:uniqueId val="{00000000-9B82-4B7C-B760-A71A6C5E9FC8}"/>
            </c:ext>
          </c:extLst>
        </c:ser>
        <c:dLbls>
          <c:showLegendKey val="0"/>
          <c:showVal val="0"/>
          <c:showCatName val="0"/>
          <c:showSerName val="0"/>
          <c:showPercent val="0"/>
          <c:showBubbleSize val="0"/>
        </c:dLbls>
        <c:gapWidth val="219"/>
        <c:overlap val="-27"/>
        <c:axId val="821360351"/>
        <c:axId val="821354591"/>
      </c:barChart>
      <c:catAx>
        <c:axId val="82136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354591"/>
        <c:crosses val="autoZero"/>
        <c:auto val="1"/>
        <c:lblAlgn val="ctr"/>
        <c:lblOffset val="100"/>
        <c:noMultiLvlLbl val="0"/>
      </c:catAx>
      <c:valAx>
        <c:axId val="821354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360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expectancy.xlsx]pivot1!PivotTable3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pivot1!$B$28</c:f>
              <c:strCache>
                <c:ptCount val="1"/>
                <c:pt idx="0">
                  <c:v>Average of Health Expenditure %</c:v>
                </c:pt>
              </c:strCache>
            </c:strRef>
          </c:tx>
          <c:spPr>
            <a:solidFill>
              <a:schemeClr val="accent1"/>
            </a:solidFill>
            <a:ln>
              <a:noFill/>
            </a:ln>
            <a:effectLst/>
          </c:spPr>
          <c:invertIfNegative val="0"/>
          <c:cat>
            <c:strRef>
              <c:f>pivot1!$A$29:$A$39</c:f>
              <c:strCache>
                <c:ptCount val="10"/>
                <c:pt idx="0">
                  <c:v>Albania</c:v>
                </c:pt>
                <c:pt idx="1">
                  <c:v>Armenia</c:v>
                </c:pt>
                <c:pt idx="2">
                  <c:v>Chad</c:v>
                </c:pt>
                <c:pt idx="3">
                  <c:v>Georgia</c:v>
                </c:pt>
                <c:pt idx="4">
                  <c:v>Lesotho</c:v>
                </c:pt>
                <c:pt idx="5">
                  <c:v>Madagascar</c:v>
                </c:pt>
                <c:pt idx="6">
                  <c:v>Mali</c:v>
                </c:pt>
                <c:pt idx="7">
                  <c:v>Sao Tome and Principe</c:v>
                </c:pt>
                <c:pt idx="8">
                  <c:v>Sierra Leone</c:v>
                </c:pt>
                <c:pt idx="9">
                  <c:v>Tanzania</c:v>
                </c:pt>
              </c:strCache>
            </c:strRef>
          </c:cat>
          <c:val>
            <c:numRef>
              <c:f>pivot1!$B$29:$B$39</c:f>
              <c:numCache>
                <c:formatCode>General</c:formatCode>
                <c:ptCount val="10"/>
                <c:pt idx="0">
                  <c:v>6.3355417300000001</c:v>
                </c:pt>
                <c:pt idx="1">
                  <c:v>5.8618826899999998</c:v>
                </c:pt>
                <c:pt idx="2">
                  <c:v>4.8411140399999999</c:v>
                </c:pt>
                <c:pt idx="3">
                  <c:v>8.0773410800000001</c:v>
                </c:pt>
                <c:pt idx="4">
                  <c:v>5.4492669100000004</c:v>
                </c:pt>
                <c:pt idx="5">
                  <c:v>5.2026195499999996</c:v>
                </c:pt>
                <c:pt idx="6">
                  <c:v>5.1951570499999997</c:v>
                </c:pt>
                <c:pt idx="7">
                  <c:v>11.51630402</c:v>
                </c:pt>
                <c:pt idx="8">
                  <c:v>11.037729260000001</c:v>
                </c:pt>
                <c:pt idx="9">
                  <c:v>6.3228259099999997</c:v>
                </c:pt>
              </c:numCache>
            </c:numRef>
          </c:val>
          <c:extLst>
            <c:ext xmlns:c16="http://schemas.microsoft.com/office/drawing/2014/chart" uri="{C3380CC4-5D6E-409C-BE32-E72D297353CC}">
              <c16:uniqueId val="{00000000-F088-4FEA-AAC1-AE1F8AB93D0B}"/>
            </c:ext>
          </c:extLst>
        </c:ser>
        <c:ser>
          <c:idx val="1"/>
          <c:order val="1"/>
          <c:tx>
            <c:strRef>
              <c:f>pivot1!$C$28</c:f>
              <c:strCache>
                <c:ptCount val="1"/>
                <c:pt idx="0">
                  <c:v>Average of Education Expenditure %</c:v>
                </c:pt>
              </c:strCache>
            </c:strRef>
          </c:tx>
          <c:spPr>
            <a:solidFill>
              <a:schemeClr val="accent2"/>
            </a:solidFill>
            <a:ln>
              <a:noFill/>
            </a:ln>
            <a:effectLst/>
          </c:spPr>
          <c:invertIfNegative val="0"/>
          <c:cat>
            <c:strRef>
              <c:f>pivot1!$A$29:$A$39</c:f>
              <c:strCache>
                <c:ptCount val="10"/>
                <c:pt idx="0">
                  <c:v>Albania</c:v>
                </c:pt>
                <c:pt idx="1">
                  <c:v>Armenia</c:v>
                </c:pt>
                <c:pt idx="2">
                  <c:v>Chad</c:v>
                </c:pt>
                <c:pt idx="3">
                  <c:v>Georgia</c:v>
                </c:pt>
                <c:pt idx="4">
                  <c:v>Lesotho</c:v>
                </c:pt>
                <c:pt idx="5">
                  <c:v>Madagascar</c:v>
                </c:pt>
                <c:pt idx="6">
                  <c:v>Mali</c:v>
                </c:pt>
                <c:pt idx="7">
                  <c:v>Sao Tome and Principe</c:v>
                </c:pt>
                <c:pt idx="8">
                  <c:v>Sierra Leone</c:v>
                </c:pt>
                <c:pt idx="9">
                  <c:v>Tanzania</c:v>
                </c:pt>
              </c:strCache>
            </c:strRef>
          </c:cat>
          <c:val>
            <c:numRef>
              <c:f>pivot1!$C$29:$C$39</c:f>
              <c:numCache>
                <c:formatCode>General</c:formatCode>
                <c:ptCount val="10"/>
                <c:pt idx="0">
                  <c:v>3.2815499305725102</c:v>
                </c:pt>
                <c:pt idx="1">
                  <c:v>2.7120299339294398</c:v>
                </c:pt>
                <c:pt idx="2">
                  <c:v>1.69476997852325</c:v>
                </c:pt>
                <c:pt idx="3">
                  <c:v>2.4843199253082302</c:v>
                </c:pt>
                <c:pt idx="4">
                  <c:v>12.0796604156494</c:v>
                </c:pt>
                <c:pt idx="5">
                  <c:v>3.3096399307250999</c:v>
                </c:pt>
                <c:pt idx="6">
                  <c:v>3.5221800804138201</c:v>
                </c:pt>
                <c:pt idx="7">
                  <c:v>4.8564500808715803</c:v>
                </c:pt>
                <c:pt idx="8">
                  <c:v>2.7969799041747998</c:v>
                </c:pt>
                <c:pt idx="9">
                  <c:v>3.5462501049041699</c:v>
                </c:pt>
              </c:numCache>
            </c:numRef>
          </c:val>
          <c:extLst>
            <c:ext xmlns:c16="http://schemas.microsoft.com/office/drawing/2014/chart" uri="{C3380CC4-5D6E-409C-BE32-E72D297353CC}">
              <c16:uniqueId val="{00000001-F088-4FEA-AAC1-AE1F8AB93D0B}"/>
            </c:ext>
          </c:extLst>
        </c:ser>
        <c:dLbls>
          <c:showLegendKey val="0"/>
          <c:showVal val="0"/>
          <c:showCatName val="0"/>
          <c:showSerName val="0"/>
          <c:showPercent val="0"/>
          <c:showBubbleSize val="0"/>
        </c:dLbls>
        <c:gapWidth val="182"/>
        <c:axId val="821364191"/>
        <c:axId val="821375711"/>
      </c:barChart>
      <c:catAx>
        <c:axId val="821364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375711"/>
        <c:crosses val="autoZero"/>
        <c:auto val="1"/>
        <c:lblAlgn val="ctr"/>
        <c:lblOffset val="100"/>
        <c:noMultiLvlLbl val="0"/>
      </c:catAx>
      <c:valAx>
        <c:axId val="8213757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36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expectancy.xlsx]pivot1!PivotTable4</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pivot1!$I$2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FD-4876-9D0F-8672449293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FD-4876-9D0F-8672449293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3FD-4876-9D0F-8672449293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3FD-4876-9D0F-86724492930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3FD-4876-9D0F-8672449293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pivot1!$H$3:$H$8</c:f>
              <c:strCache>
                <c:ptCount val="5"/>
                <c:pt idx="0">
                  <c:v>Albania</c:v>
                </c:pt>
                <c:pt idx="1">
                  <c:v>Djibouti</c:v>
                </c:pt>
                <c:pt idx="2">
                  <c:v>Georgia</c:v>
                </c:pt>
                <c:pt idx="3">
                  <c:v>Lesotho</c:v>
                </c:pt>
                <c:pt idx="4">
                  <c:v>Sao Tome and Principe</c:v>
                </c:pt>
              </c:strCache>
            </c:strRef>
          </c:cat>
          <c:val>
            <c:numRef>
              <c:f>pivot1!$I$3:$I$8</c:f>
              <c:numCache>
                <c:formatCode>General</c:formatCode>
                <c:ptCount val="5"/>
                <c:pt idx="0">
                  <c:v>15.9700002670288</c:v>
                </c:pt>
                <c:pt idx="1">
                  <c:v>27.719999313354499</c:v>
                </c:pt>
                <c:pt idx="2">
                  <c:v>13.810000419616699</c:v>
                </c:pt>
                <c:pt idx="3">
                  <c:v>31.309999465942401</c:v>
                </c:pt>
                <c:pt idx="4">
                  <c:v>16.469999313354499</c:v>
                </c:pt>
              </c:numCache>
            </c:numRef>
          </c:val>
          <c:extLst>
            <c:ext xmlns:c16="http://schemas.microsoft.com/office/drawing/2014/chart" uri="{C3380CC4-5D6E-409C-BE32-E72D297353CC}">
              <c16:uniqueId val="{00000000-C907-4B69-BA69-E0EAF9438F0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expectancy.xlsx]pivot1!PivotTable5</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pivot1!$I$13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9E-42A1-AF63-B185665EC1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9E-42A1-AF63-B185665EC1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29E-42A1-AF63-B185665EC11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29E-42A1-AF63-B185665EC11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29E-42A1-AF63-B185665EC1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pivot1!$H$14:$H$19</c:f>
              <c:strCache>
                <c:ptCount val="5"/>
                <c:pt idx="0">
                  <c:v>Central African Republic</c:v>
                </c:pt>
                <c:pt idx="1">
                  <c:v>Chad</c:v>
                </c:pt>
                <c:pt idx="2">
                  <c:v>Djibouti</c:v>
                </c:pt>
                <c:pt idx="3">
                  <c:v>Madagascar</c:v>
                </c:pt>
                <c:pt idx="4">
                  <c:v>Sierra Leone</c:v>
                </c:pt>
              </c:strCache>
            </c:strRef>
          </c:cat>
          <c:val>
            <c:numRef>
              <c:f>pivot1!$I$14:$I$19</c:f>
              <c:numCache>
                <c:formatCode>General</c:formatCode>
                <c:ptCount val="5"/>
                <c:pt idx="0">
                  <c:v>39.6</c:v>
                </c:pt>
                <c:pt idx="1">
                  <c:v>37.799999999999997</c:v>
                </c:pt>
                <c:pt idx="2">
                  <c:v>31.3</c:v>
                </c:pt>
                <c:pt idx="3">
                  <c:v>33.4</c:v>
                </c:pt>
                <c:pt idx="4">
                  <c:v>46.7</c:v>
                </c:pt>
              </c:numCache>
            </c:numRef>
          </c:val>
          <c:extLst>
            <c:ext xmlns:c16="http://schemas.microsoft.com/office/drawing/2014/chart" uri="{C3380CC4-5D6E-409C-BE32-E72D297353CC}">
              <c16:uniqueId val="{00000000-9432-44A0-A3CF-165F2F1FE13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expectancy.xlsx]pivot1!PivotTable9</c:name>
    <c:fmtId val="4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pivot1!$L$45</c:f>
              <c:strCache>
                <c:ptCount val="1"/>
                <c:pt idx="0">
                  <c:v>Count of Corruption</c:v>
                </c:pt>
              </c:strCache>
            </c:strRef>
          </c:tx>
          <c:spPr>
            <a:ln w="28575" cap="rnd">
              <a:solidFill>
                <a:schemeClr val="accent1"/>
              </a:solidFill>
              <a:round/>
            </a:ln>
            <a:effectLst/>
          </c:spPr>
          <c:marker>
            <c:symbol val="none"/>
          </c:marker>
          <c:cat>
            <c:strRef>
              <c:f>pivot1!$K$46:$K$64</c:f>
              <c:strCache>
                <c:ptCount val="18"/>
                <c:pt idx="0">
                  <c:v>Albania</c:v>
                </c:pt>
                <c:pt idx="1">
                  <c:v>Armenia</c:v>
                </c:pt>
                <c:pt idx="2">
                  <c:v>Azerbaijan</c:v>
                </c:pt>
                <c:pt idx="3">
                  <c:v>Central African Republic</c:v>
                </c:pt>
                <c:pt idx="4">
                  <c:v>Chad</c:v>
                </c:pt>
                <c:pt idx="5">
                  <c:v>Djibouti</c:v>
                </c:pt>
                <c:pt idx="6">
                  <c:v>Georgia</c:v>
                </c:pt>
                <c:pt idx="7">
                  <c:v>Ghana</c:v>
                </c:pt>
                <c:pt idx="8">
                  <c:v>India</c:v>
                </c:pt>
                <c:pt idx="9">
                  <c:v>Lesotho</c:v>
                </c:pt>
                <c:pt idx="10">
                  <c:v>Madagascar</c:v>
                </c:pt>
                <c:pt idx="11">
                  <c:v>Mali</c:v>
                </c:pt>
                <c:pt idx="12">
                  <c:v>Nepal</c:v>
                </c:pt>
                <c:pt idx="13">
                  <c:v>Sao Tome and Principe</c:v>
                </c:pt>
                <c:pt idx="14">
                  <c:v>Senegal</c:v>
                </c:pt>
                <c:pt idx="15">
                  <c:v>Sierra Leone</c:v>
                </c:pt>
                <c:pt idx="16">
                  <c:v>Tanzania</c:v>
                </c:pt>
                <c:pt idx="17">
                  <c:v>Togo</c:v>
                </c:pt>
              </c:strCache>
            </c:strRef>
          </c:cat>
          <c:val>
            <c:numRef>
              <c:f>pivot1!$L$46:$L$64</c:f>
              <c:numCache>
                <c:formatCode>General</c:formatCode>
                <c:ptCount val="1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numCache>
            </c:numRef>
          </c:val>
          <c:smooth val="0"/>
          <c:extLst>
            <c:ext xmlns:c16="http://schemas.microsoft.com/office/drawing/2014/chart" uri="{C3380CC4-5D6E-409C-BE32-E72D297353CC}">
              <c16:uniqueId val="{00000007-AE3A-49B7-80B0-8C6A4DEF592A}"/>
            </c:ext>
          </c:extLst>
        </c:ser>
        <c:ser>
          <c:idx val="1"/>
          <c:order val="1"/>
          <c:tx>
            <c:strRef>
              <c:f>pivot1!$M$45</c:f>
              <c:strCache>
                <c:ptCount val="1"/>
                <c:pt idx="0">
                  <c:v>Average of Prevelance of Undernourishment</c:v>
                </c:pt>
              </c:strCache>
            </c:strRef>
          </c:tx>
          <c:spPr>
            <a:ln w="28575" cap="rnd">
              <a:solidFill>
                <a:schemeClr val="accent2"/>
              </a:solidFill>
              <a:round/>
            </a:ln>
            <a:effectLst/>
          </c:spPr>
          <c:marker>
            <c:symbol val="none"/>
          </c:marker>
          <c:cat>
            <c:strRef>
              <c:f>pivot1!$K$46:$K$64</c:f>
              <c:strCache>
                <c:ptCount val="18"/>
                <c:pt idx="0">
                  <c:v>Albania</c:v>
                </c:pt>
                <c:pt idx="1">
                  <c:v>Armenia</c:v>
                </c:pt>
                <c:pt idx="2">
                  <c:v>Azerbaijan</c:v>
                </c:pt>
                <c:pt idx="3">
                  <c:v>Central African Republic</c:v>
                </c:pt>
                <c:pt idx="4">
                  <c:v>Chad</c:v>
                </c:pt>
                <c:pt idx="5">
                  <c:v>Djibouti</c:v>
                </c:pt>
                <c:pt idx="6">
                  <c:v>Georgia</c:v>
                </c:pt>
                <c:pt idx="7">
                  <c:v>Ghana</c:v>
                </c:pt>
                <c:pt idx="8">
                  <c:v>India</c:v>
                </c:pt>
                <c:pt idx="9">
                  <c:v>Lesotho</c:v>
                </c:pt>
                <c:pt idx="10">
                  <c:v>Madagascar</c:v>
                </c:pt>
                <c:pt idx="11">
                  <c:v>Mali</c:v>
                </c:pt>
                <c:pt idx="12">
                  <c:v>Nepal</c:v>
                </c:pt>
                <c:pt idx="13">
                  <c:v>Sao Tome and Principe</c:v>
                </c:pt>
                <c:pt idx="14">
                  <c:v>Senegal</c:v>
                </c:pt>
                <c:pt idx="15">
                  <c:v>Sierra Leone</c:v>
                </c:pt>
                <c:pt idx="16">
                  <c:v>Tanzania</c:v>
                </c:pt>
                <c:pt idx="17">
                  <c:v>Togo</c:v>
                </c:pt>
              </c:strCache>
            </c:strRef>
          </c:cat>
          <c:val>
            <c:numRef>
              <c:f>pivot1!$M$46:$M$64</c:f>
              <c:numCache>
                <c:formatCode>General</c:formatCode>
                <c:ptCount val="18"/>
                <c:pt idx="0">
                  <c:v>8.9</c:v>
                </c:pt>
                <c:pt idx="1">
                  <c:v>12.3</c:v>
                </c:pt>
                <c:pt idx="2">
                  <c:v>4.8</c:v>
                </c:pt>
                <c:pt idx="3">
                  <c:v>39.6</c:v>
                </c:pt>
                <c:pt idx="4">
                  <c:v>37.799999999999997</c:v>
                </c:pt>
                <c:pt idx="5">
                  <c:v>31.3</c:v>
                </c:pt>
                <c:pt idx="6">
                  <c:v>4.0999999999999996</c:v>
                </c:pt>
                <c:pt idx="7">
                  <c:v>11.2</c:v>
                </c:pt>
                <c:pt idx="8">
                  <c:v>21.6</c:v>
                </c:pt>
                <c:pt idx="9">
                  <c:v>13.7</c:v>
                </c:pt>
                <c:pt idx="10">
                  <c:v>33.4</c:v>
                </c:pt>
                <c:pt idx="11">
                  <c:v>13.3</c:v>
                </c:pt>
                <c:pt idx="12">
                  <c:v>16.8</c:v>
                </c:pt>
                <c:pt idx="13">
                  <c:v>9</c:v>
                </c:pt>
                <c:pt idx="14">
                  <c:v>18.100000000000001</c:v>
                </c:pt>
                <c:pt idx="15">
                  <c:v>46.7</c:v>
                </c:pt>
                <c:pt idx="16">
                  <c:v>28.4</c:v>
                </c:pt>
                <c:pt idx="17">
                  <c:v>27.7</c:v>
                </c:pt>
              </c:numCache>
            </c:numRef>
          </c:val>
          <c:smooth val="0"/>
          <c:extLst>
            <c:ext xmlns:c16="http://schemas.microsoft.com/office/drawing/2014/chart" uri="{C3380CC4-5D6E-409C-BE32-E72D297353CC}">
              <c16:uniqueId val="{00000009-AE3A-49B7-80B0-8C6A4DEF592A}"/>
            </c:ext>
          </c:extLst>
        </c:ser>
        <c:dLbls>
          <c:showLegendKey val="0"/>
          <c:showVal val="0"/>
          <c:showCatName val="0"/>
          <c:showSerName val="0"/>
          <c:showPercent val="0"/>
          <c:showBubbleSize val="0"/>
        </c:dLbls>
        <c:smooth val="0"/>
        <c:axId val="1313656384"/>
        <c:axId val="1313656864"/>
      </c:lineChart>
      <c:catAx>
        <c:axId val="131365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656864"/>
        <c:crosses val="autoZero"/>
        <c:auto val="1"/>
        <c:lblAlgn val="ctr"/>
        <c:lblOffset val="100"/>
        <c:noMultiLvlLbl val="0"/>
      </c:catAx>
      <c:valAx>
        <c:axId val="1313656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656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expectancy.xlsx]pivot1!PivotTable9</c:name>
    <c:fmtId val="5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countries by corruption and POU</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pivot1!$L$45</c:f>
              <c:strCache>
                <c:ptCount val="1"/>
                <c:pt idx="0">
                  <c:v>Count of Corruption</c:v>
                </c:pt>
              </c:strCache>
            </c:strRef>
          </c:tx>
          <c:spPr>
            <a:solidFill>
              <a:schemeClr val="accent1"/>
            </a:solidFill>
            <a:ln>
              <a:noFill/>
            </a:ln>
            <a:effectLst/>
          </c:spPr>
          <c:invertIfNegative val="0"/>
          <c:cat>
            <c:strRef>
              <c:f>pivot1!$K$46:$K$64</c:f>
              <c:strCache>
                <c:ptCount val="18"/>
                <c:pt idx="0">
                  <c:v>Albania</c:v>
                </c:pt>
                <c:pt idx="1">
                  <c:v>Armenia</c:v>
                </c:pt>
                <c:pt idx="2">
                  <c:v>Azerbaijan</c:v>
                </c:pt>
                <c:pt idx="3">
                  <c:v>Central African Republic</c:v>
                </c:pt>
                <c:pt idx="4">
                  <c:v>Chad</c:v>
                </c:pt>
                <c:pt idx="5">
                  <c:v>Djibouti</c:v>
                </c:pt>
                <c:pt idx="6">
                  <c:v>Georgia</c:v>
                </c:pt>
                <c:pt idx="7">
                  <c:v>Ghana</c:v>
                </c:pt>
                <c:pt idx="8">
                  <c:v>India</c:v>
                </c:pt>
                <c:pt idx="9">
                  <c:v>Lesotho</c:v>
                </c:pt>
                <c:pt idx="10">
                  <c:v>Madagascar</c:v>
                </c:pt>
                <c:pt idx="11">
                  <c:v>Mali</c:v>
                </c:pt>
                <c:pt idx="12">
                  <c:v>Nepal</c:v>
                </c:pt>
                <c:pt idx="13">
                  <c:v>Sao Tome and Principe</c:v>
                </c:pt>
                <c:pt idx="14">
                  <c:v>Senegal</c:v>
                </c:pt>
                <c:pt idx="15">
                  <c:v>Sierra Leone</c:v>
                </c:pt>
                <c:pt idx="16">
                  <c:v>Tanzania</c:v>
                </c:pt>
                <c:pt idx="17">
                  <c:v>Togo</c:v>
                </c:pt>
              </c:strCache>
            </c:strRef>
          </c:cat>
          <c:val>
            <c:numRef>
              <c:f>pivot1!$L$46:$L$64</c:f>
              <c:numCache>
                <c:formatCode>General</c:formatCode>
                <c:ptCount val="1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numCache>
            </c:numRef>
          </c:val>
          <c:extLst>
            <c:ext xmlns:c16="http://schemas.microsoft.com/office/drawing/2014/chart" uri="{C3380CC4-5D6E-409C-BE32-E72D297353CC}">
              <c16:uniqueId val="{00000000-A525-482A-9D05-5790D1BB9E5D}"/>
            </c:ext>
          </c:extLst>
        </c:ser>
        <c:ser>
          <c:idx val="1"/>
          <c:order val="1"/>
          <c:tx>
            <c:strRef>
              <c:f>pivot1!$M$45</c:f>
              <c:strCache>
                <c:ptCount val="1"/>
                <c:pt idx="0">
                  <c:v>Average of Prevelance of Undernourishment</c:v>
                </c:pt>
              </c:strCache>
            </c:strRef>
          </c:tx>
          <c:spPr>
            <a:solidFill>
              <a:schemeClr val="accent2"/>
            </a:solidFill>
            <a:ln>
              <a:noFill/>
            </a:ln>
            <a:effectLst/>
          </c:spPr>
          <c:invertIfNegative val="0"/>
          <c:cat>
            <c:strRef>
              <c:f>pivot1!$K$46:$K$64</c:f>
              <c:strCache>
                <c:ptCount val="18"/>
                <c:pt idx="0">
                  <c:v>Albania</c:v>
                </c:pt>
                <c:pt idx="1">
                  <c:v>Armenia</c:v>
                </c:pt>
                <c:pt idx="2">
                  <c:v>Azerbaijan</c:v>
                </c:pt>
                <c:pt idx="3">
                  <c:v>Central African Republic</c:v>
                </c:pt>
                <c:pt idx="4">
                  <c:v>Chad</c:v>
                </c:pt>
                <c:pt idx="5">
                  <c:v>Djibouti</c:v>
                </c:pt>
                <c:pt idx="6">
                  <c:v>Georgia</c:v>
                </c:pt>
                <c:pt idx="7">
                  <c:v>Ghana</c:v>
                </c:pt>
                <c:pt idx="8">
                  <c:v>India</c:v>
                </c:pt>
                <c:pt idx="9">
                  <c:v>Lesotho</c:v>
                </c:pt>
                <c:pt idx="10">
                  <c:v>Madagascar</c:v>
                </c:pt>
                <c:pt idx="11">
                  <c:v>Mali</c:v>
                </c:pt>
                <c:pt idx="12">
                  <c:v>Nepal</c:v>
                </c:pt>
                <c:pt idx="13">
                  <c:v>Sao Tome and Principe</c:v>
                </c:pt>
                <c:pt idx="14">
                  <c:v>Senegal</c:v>
                </c:pt>
                <c:pt idx="15">
                  <c:v>Sierra Leone</c:v>
                </c:pt>
                <c:pt idx="16">
                  <c:v>Tanzania</c:v>
                </c:pt>
                <c:pt idx="17">
                  <c:v>Togo</c:v>
                </c:pt>
              </c:strCache>
            </c:strRef>
          </c:cat>
          <c:val>
            <c:numRef>
              <c:f>pivot1!$M$46:$M$64</c:f>
              <c:numCache>
                <c:formatCode>General</c:formatCode>
                <c:ptCount val="18"/>
                <c:pt idx="0">
                  <c:v>8.9</c:v>
                </c:pt>
                <c:pt idx="1">
                  <c:v>12.3</c:v>
                </c:pt>
                <c:pt idx="2">
                  <c:v>4.8</c:v>
                </c:pt>
                <c:pt idx="3">
                  <c:v>39.6</c:v>
                </c:pt>
                <c:pt idx="4">
                  <c:v>37.799999999999997</c:v>
                </c:pt>
                <c:pt idx="5">
                  <c:v>31.3</c:v>
                </c:pt>
                <c:pt idx="6">
                  <c:v>4.0999999999999996</c:v>
                </c:pt>
                <c:pt idx="7">
                  <c:v>11.2</c:v>
                </c:pt>
                <c:pt idx="8">
                  <c:v>21.6</c:v>
                </c:pt>
                <c:pt idx="9">
                  <c:v>13.7</c:v>
                </c:pt>
                <c:pt idx="10">
                  <c:v>33.4</c:v>
                </c:pt>
                <c:pt idx="11">
                  <c:v>13.3</c:v>
                </c:pt>
                <c:pt idx="12">
                  <c:v>16.8</c:v>
                </c:pt>
                <c:pt idx="13">
                  <c:v>9</c:v>
                </c:pt>
                <c:pt idx="14">
                  <c:v>18.100000000000001</c:v>
                </c:pt>
                <c:pt idx="15">
                  <c:v>46.7</c:v>
                </c:pt>
                <c:pt idx="16">
                  <c:v>28.4</c:v>
                </c:pt>
                <c:pt idx="17">
                  <c:v>27.7</c:v>
                </c:pt>
              </c:numCache>
            </c:numRef>
          </c:val>
          <c:extLst>
            <c:ext xmlns:c16="http://schemas.microsoft.com/office/drawing/2014/chart" uri="{C3380CC4-5D6E-409C-BE32-E72D297353CC}">
              <c16:uniqueId val="{00000001-A525-482A-9D05-5790D1BB9E5D}"/>
            </c:ext>
          </c:extLst>
        </c:ser>
        <c:dLbls>
          <c:showLegendKey val="0"/>
          <c:showVal val="0"/>
          <c:showCatName val="0"/>
          <c:showSerName val="0"/>
          <c:showPercent val="0"/>
          <c:showBubbleSize val="0"/>
        </c:dLbls>
        <c:gapWidth val="182"/>
        <c:axId val="1339469152"/>
        <c:axId val="1339470112"/>
      </c:barChart>
      <c:catAx>
        <c:axId val="1339469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470112"/>
        <c:crosses val="autoZero"/>
        <c:auto val="1"/>
        <c:lblAlgn val="ctr"/>
        <c:lblOffset val="100"/>
        <c:noMultiLvlLbl val="0"/>
      </c:catAx>
      <c:valAx>
        <c:axId val="1339470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46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[life expectancy.xlsx]pivot1!PivotTable1</c:name>
    <c:fmtId val="6"/>
  </c:pivotSource>
  <c:chart>
    <c:title>
      <c:tx>
        <c:rich>
          <a:bodyPr rot="0" spcFirstLastPara="1" vertOverflow="ellipsis" vert="horz" wrap="square" anchor="ctr" anchorCtr="1"/>
          <a:lstStyle/>
          <a:p>
            <a:pPr>
              <a:defRPr sz="1600" b="1" i="0" u="none" strike="noStrike" kern="1200" spc="0" baseline="0">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solidFill>
                  <a:schemeClr val="accent6">
                    <a:lumMod val="20000"/>
                    <a:lumOff val="80000"/>
                  </a:schemeClr>
                </a:solidFill>
                <a:latin typeface="+mn-lt"/>
                <a:ea typeface="+mn-ea"/>
                <a:cs typeface="+mn-cs"/>
              </a:defRPr>
            </a:pPr>
            <a:r>
              <a:rPr lang="en-US" sz="1600" b="1">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solidFill>
                  <a:schemeClr val="accent6">
                    <a:lumMod val="20000"/>
                    <a:lumOff val="80000"/>
                  </a:schemeClr>
                </a:solidFill>
              </a:rPr>
              <a:t>Top</a:t>
            </a:r>
            <a:r>
              <a:rPr lang="en-US" sz="1600" b="1" baseline="0">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solidFill>
                  <a:schemeClr val="accent6">
                    <a:lumMod val="20000"/>
                    <a:lumOff val="80000"/>
                  </a:schemeClr>
                </a:solidFill>
              </a:rPr>
              <a:t> countries by life expectancy</a:t>
            </a:r>
            <a:endParaRPr lang="en-US" sz="1600" b="1">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solidFill>
                <a:schemeClr val="accent6">
                  <a:lumMod val="20000"/>
                  <a:lumOff val="8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solidFill>
                <a:schemeClr val="accent6">
                  <a:lumMod val="20000"/>
                  <a:lumOff val="8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pivot1!$B$1</c:f>
              <c:strCache>
                <c:ptCount val="1"/>
                <c:pt idx="0">
                  <c:v>Total</c:v>
                </c:pt>
              </c:strCache>
            </c:strRef>
          </c:tx>
          <c:spPr>
            <a:solidFill>
              <a:schemeClr val="accent1"/>
            </a:solidFill>
            <a:ln>
              <a:noFill/>
            </a:ln>
            <a:effectLst/>
          </c:spPr>
          <c:invertIfNegative val="0"/>
          <c:cat>
            <c:strRef>
              <c:f>pivot1!$A$2:$A$12</c:f>
              <c:strCache>
                <c:ptCount val="10"/>
                <c:pt idx="0">
                  <c:v>Albania</c:v>
                </c:pt>
                <c:pt idx="1">
                  <c:v>Armenia</c:v>
                </c:pt>
                <c:pt idx="2">
                  <c:v>Azerbaijan</c:v>
                </c:pt>
                <c:pt idx="3">
                  <c:v>Georgia</c:v>
                </c:pt>
                <c:pt idx="4">
                  <c:v>Ghana</c:v>
                </c:pt>
                <c:pt idx="5">
                  <c:v>India</c:v>
                </c:pt>
                <c:pt idx="6">
                  <c:v>Madagascar</c:v>
                </c:pt>
                <c:pt idx="7">
                  <c:v>Nepal</c:v>
                </c:pt>
                <c:pt idx="8">
                  <c:v>Sao Tome and Principe</c:v>
                </c:pt>
                <c:pt idx="9">
                  <c:v>Senegal</c:v>
                </c:pt>
              </c:strCache>
            </c:strRef>
          </c:cat>
          <c:val>
            <c:numRef>
              <c:f>pivot1!$B$2:$B$12</c:f>
              <c:numCache>
                <c:formatCode>General</c:formatCode>
                <c:ptCount val="10"/>
                <c:pt idx="0">
                  <c:v>75.227999999999994</c:v>
                </c:pt>
                <c:pt idx="1">
                  <c:v>72.626000000000005</c:v>
                </c:pt>
                <c:pt idx="2">
                  <c:v>68.747</c:v>
                </c:pt>
                <c:pt idx="3">
                  <c:v>70.537999999999997</c:v>
                </c:pt>
                <c:pt idx="4">
                  <c:v>58.719000000000001</c:v>
                </c:pt>
                <c:pt idx="5">
                  <c:v>64.5</c:v>
                </c:pt>
                <c:pt idx="6">
                  <c:v>61.212000000000003</c:v>
                </c:pt>
                <c:pt idx="7">
                  <c:v>65.263999999999996</c:v>
                </c:pt>
                <c:pt idx="8">
                  <c:v>64.659000000000006</c:v>
                </c:pt>
                <c:pt idx="9">
                  <c:v>60.62</c:v>
                </c:pt>
              </c:numCache>
            </c:numRef>
          </c:val>
          <c:extLst>
            <c:ext xmlns:c16="http://schemas.microsoft.com/office/drawing/2014/chart" uri="{C3380CC4-5D6E-409C-BE32-E72D297353CC}">
              <c16:uniqueId val="{00000000-D793-4F5C-AA05-B86F79A57BB2}"/>
            </c:ext>
          </c:extLst>
        </c:ser>
        <c:dLbls>
          <c:showLegendKey val="0"/>
          <c:showVal val="0"/>
          <c:showCatName val="0"/>
          <c:showSerName val="0"/>
          <c:showPercent val="0"/>
          <c:showBubbleSize val="0"/>
        </c:dLbls>
        <c:gapWidth val="219"/>
        <c:overlap val="-27"/>
        <c:axId val="867173967"/>
        <c:axId val="867171567"/>
      </c:barChart>
      <c:catAx>
        <c:axId val="86717396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ln>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solidFill>
                  <a:schemeClr val="bg1">
                    <a:lumMod val="95000"/>
                  </a:schemeClr>
                </a:solidFill>
                <a:latin typeface="+mn-lt"/>
                <a:ea typeface="+mn-ea"/>
                <a:cs typeface="+mn-cs"/>
              </a:defRPr>
            </a:pPr>
            <a:endParaRPr lang="en-US"/>
          </a:p>
        </c:txPr>
        <c:crossAx val="867171567"/>
        <c:crosses val="autoZero"/>
        <c:auto val="1"/>
        <c:lblAlgn val="ctr"/>
        <c:lblOffset val="100"/>
        <c:noMultiLvlLbl val="0"/>
      </c:catAx>
      <c:valAx>
        <c:axId val="867171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solidFill>
                  <a:schemeClr val="bg1">
                    <a:lumMod val="85000"/>
                  </a:schemeClr>
                </a:solidFill>
                <a:latin typeface="+mn-lt"/>
                <a:ea typeface="+mn-ea"/>
                <a:cs typeface="+mn-cs"/>
              </a:defRPr>
            </a:pPr>
            <a:endParaRPr lang="en-US"/>
          </a:p>
        </c:txPr>
        <c:crossAx val="867173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[life expectancy.xlsx]pivot1!PivotTable2</c:name>
    <c:fmtId val="8"/>
  </c:pivotSource>
  <c:chart>
    <c:title>
      <c:tx>
        <c:rich>
          <a:bodyPr rot="0" spcFirstLastPara="1" vertOverflow="ellipsis" vert="horz" wrap="square" anchor="ctr" anchorCtr="1"/>
          <a:lstStyle/>
          <a:p>
            <a:pPr>
              <a:defRPr sz="1600" b="1" i="0" u="none" strike="noStrike" kern="1200" spc="0" baseline="0">
                <a:ln>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solidFill>
                  <a:schemeClr val="tx1">
                    <a:lumMod val="65000"/>
                    <a:lumOff val="35000"/>
                  </a:schemeClr>
                </a:solidFill>
                <a:latin typeface="+mn-lt"/>
                <a:ea typeface="+mn-ea"/>
                <a:cs typeface="+mn-cs"/>
              </a:defRPr>
            </a:pPr>
            <a:r>
              <a:rPr lang="en-US" sz="1600" b="1">
                <a:ln>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rPr>
              <a:t>The</a:t>
            </a:r>
            <a:r>
              <a:rPr lang="en-US" sz="1600" b="1" baseline="0">
                <a:ln>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rPr>
              <a:t> least countries by life expectancy</a:t>
            </a:r>
            <a:endParaRPr lang="en-US" sz="1600" b="1">
              <a:ln>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endParaRPr>
          </a:p>
        </c:rich>
      </c:tx>
      <c:overlay val="0"/>
      <c:spPr>
        <a:noFill/>
        <a:ln>
          <a:noFill/>
        </a:ln>
        <a:effectLst/>
      </c:spPr>
      <c:txPr>
        <a:bodyPr rot="0" spcFirstLastPara="1" vertOverflow="ellipsis" vert="horz" wrap="square" anchor="ctr" anchorCtr="1"/>
        <a:lstStyle/>
        <a:p>
          <a:pPr>
            <a:defRPr sz="1600" b="1" i="0" u="none" strike="noStrike" kern="1200" spc="0" baseline="0">
              <a:ln>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365664157372606E-2"/>
          <c:y val="0.15659403568723468"/>
          <c:w val="0.88387365724573763"/>
          <c:h val="0.57291423941297992"/>
        </c:manualLayout>
      </c:layout>
      <c:barChart>
        <c:barDir val="col"/>
        <c:grouping val="clustered"/>
        <c:varyColors val="0"/>
        <c:ser>
          <c:idx val="0"/>
          <c:order val="0"/>
          <c:tx>
            <c:strRef>
              <c:f>pivot1!$B$14</c:f>
              <c:strCache>
                <c:ptCount val="1"/>
                <c:pt idx="0">
                  <c:v>Total</c:v>
                </c:pt>
              </c:strCache>
            </c:strRef>
          </c:tx>
          <c:spPr>
            <a:solidFill>
              <a:schemeClr val="accent1"/>
            </a:solidFill>
            <a:ln>
              <a:noFill/>
            </a:ln>
            <a:effectLst/>
          </c:spPr>
          <c:invertIfNegative val="0"/>
          <c:cat>
            <c:strRef>
              <c:f>pivot1!$A$15:$A$25</c:f>
              <c:strCache>
                <c:ptCount val="10"/>
                <c:pt idx="0">
                  <c:v>Central African Republic</c:v>
                </c:pt>
                <c:pt idx="1">
                  <c:v>Chad</c:v>
                </c:pt>
                <c:pt idx="2">
                  <c:v>Djibouti</c:v>
                </c:pt>
                <c:pt idx="3">
                  <c:v>Ghana</c:v>
                </c:pt>
                <c:pt idx="4">
                  <c:v>Lesotho</c:v>
                </c:pt>
                <c:pt idx="5">
                  <c:v>Mali</c:v>
                </c:pt>
                <c:pt idx="6">
                  <c:v>Senegal</c:v>
                </c:pt>
                <c:pt idx="7">
                  <c:v>Sierra Leone</c:v>
                </c:pt>
                <c:pt idx="8">
                  <c:v>Tanzania</c:v>
                </c:pt>
                <c:pt idx="9">
                  <c:v>Togo</c:v>
                </c:pt>
              </c:strCache>
            </c:strRef>
          </c:cat>
          <c:val>
            <c:numRef>
              <c:f>pivot1!$B$15:$B$25</c:f>
              <c:numCache>
                <c:formatCode>General</c:formatCode>
                <c:ptCount val="10"/>
                <c:pt idx="0">
                  <c:v>44.744</c:v>
                </c:pt>
                <c:pt idx="1">
                  <c:v>48.548999999999999</c:v>
                </c:pt>
                <c:pt idx="2">
                  <c:v>57.991</c:v>
                </c:pt>
                <c:pt idx="3">
                  <c:v>58.719000000000001</c:v>
                </c:pt>
                <c:pt idx="4">
                  <c:v>42.658000000000001</c:v>
                </c:pt>
                <c:pt idx="5">
                  <c:v>52.057000000000002</c:v>
                </c:pt>
                <c:pt idx="6">
                  <c:v>60.62</c:v>
                </c:pt>
                <c:pt idx="7">
                  <c:v>44.502000000000002</c:v>
                </c:pt>
                <c:pt idx="8">
                  <c:v>54.348999999999997</c:v>
                </c:pt>
                <c:pt idx="9">
                  <c:v>54.601999999999997</c:v>
                </c:pt>
              </c:numCache>
            </c:numRef>
          </c:val>
          <c:extLst>
            <c:ext xmlns:c16="http://schemas.microsoft.com/office/drawing/2014/chart" uri="{C3380CC4-5D6E-409C-BE32-E72D297353CC}">
              <c16:uniqueId val="{00000000-D1F8-4CC8-AF02-B5418CBEAE5C}"/>
            </c:ext>
          </c:extLst>
        </c:ser>
        <c:dLbls>
          <c:showLegendKey val="0"/>
          <c:showVal val="0"/>
          <c:showCatName val="0"/>
          <c:showSerName val="0"/>
          <c:showPercent val="0"/>
          <c:showBubbleSize val="0"/>
        </c:dLbls>
        <c:gapWidth val="219"/>
        <c:overlap val="-27"/>
        <c:axId val="821360351"/>
        <c:axId val="821354591"/>
      </c:barChart>
      <c:catAx>
        <c:axId val="82136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ln>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solidFill>
                  <a:schemeClr val="bg1">
                    <a:lumMod val="95000"/>
                  </a:schemeClr>
                </a:solidFill>
                <a:latin typeface="+mn-lt"/>
                <a:ea typeface="+mn-ea"/>
                <a:cs typeface="+mn-cs"/>
              </a:defRPr>
            </a:pPr>
            <a:endParaRPr lang="en-US"/>
          </a:p>
        </c:txPr>
        <c:crossAx val="821354591"/>
        <c:crosses val="autoZero"/>
        <c:auto val="1"/>
        <c:lblAlgn val="ctr"/>
        <c:lblOffset val="100"/>
        <c:noMultiLvlLbl val="0"/>
      </c:catAx>
      <c:valAx>
        <c:axId val="821354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solidFill>
                  <a:schemeClr val="bg1">
                    <a:lumMod val="95000"/>
                  </a:schemeClr>
                </a:solidFill>
                <a:latin typeface="+mn-lt"/>
                <a:ea typeface="+mn-ea"/>
                <a:cs typeface="+mn-cs"/>
              </a:defRPr>
            </a:pPr>
            <a:endParaRPr lang="en-US"/>
          </a:p>
        </c:txPr>
        <c:crossAx val="82136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[life expectancy.xlsx]pivot1!PivotTable3</c:name>
    <c:fmtId val="13"/>
  </c:pivotSource>
  <c:chart>
    <c:title>
      <c:tx>
        <c:rich>
          <a:bodyPr rot="0" spcFirstLastPara="1" vertOverflow="ellipsis" vert="horz" wrap="square" anchor="ctr" anchorCtr="1"/>
          <a:lstStyle/>
          <a:p>
            <a:pPr>
              <a:defRPr sz="1600" b="1" i="0" u="none" strike="noStrike" kern="1200" spc="0" baseline="0">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solidFill>
                  <a:schemeClr val="accent6">
                    <a:lumMod val="20000"/>
                    <a:lumOff val="80000"/>
                  </a:schemeClr>
                </a:solidFill>
                <a:latin typeface="+mn-lt"/>
                <a:ea typeface="+mn-ea"/>
                <a:cs typeface="+mn-cs"/>
              </a:defRPr>
            </a:pPr>
            <a:r>
              <a:rPr lang="en-US" sz="1600" b="1">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solidFill>
                  <a:schemeClr val="accent6">
                    <a:lumMod val="20000"/>
                    <a:lumOff val="80000"/>
                  </a:schemeClr>
                </a:solidFill>
              </a:rPr>
              <a:t>Top</a:t>
            </a:r>
            <a:r>
              <a:rPr lang="en-US" sz="1600" b="1" baseline="0">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solidFill>
                  <a:schemeClr val="accent6">
                    <a:lumMod val="20000"/>
                    <a:lumOff val="80000"/>
                  </a:schemeClr>
                </a:solidFill>
              </a:rPr>
              <a:t> countries by avg health and education expenditure</a:t>
            </a:r>
            <a:endParaRPr lang="en-US" sz="1600" b="1">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solidFill>
                <a:schemeClr val="accent6">
                  <a:lumMod val="20000"/>
                  <a:lumOff val="80000"/>
                </a:schemeClr>
              </a:solidFill>
            </a:endParaRPr>
          </a:p>
        </c:rich>
      </c:tx>
      <c:layout>
        <c:manualLayout>
          <c:xMode val="edge"/>
          <c:yMode val="edge"/>
          <c:x val="0.21516160043947996"/>
          <c:y val="1.9497509269952612E-2"/>
        </c:manualLayout>
      </c:layout>
      <c:overlay val="0"/>
      <c:spPr>
        <a:noFill/>
        <a:ln>
          <a:noFill/>
        </a:ln>
        <a:effectLst/>
      </c:spPr>
      <c:txPr>
        <a:bodyPr rot="0" spcFirstLastPara="1" vertOverflow="ellipsis" vert="horz" wrap="square" anchor="ctr" anchorCtr="1"/>
        <a:lstStyle/>
        <a:p>
          <a:pPr>
            <a:defRPr sz="1600" b="1" i="0" u="none" strike="noStrike" kern="1200" spc="0" baseline="0">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solidFill>
                <a:schemeClr val="accent6">
                  <a:lumMod val="20000"/>
                  <a:lumOff val="8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94462326686299"/>
          <c:y val="0.22694716980987242"/>
          <c:w val="0.53029866916843149"/>
          <c:h val="0.67063371894647439"/>
        </c:manualLayout>
      </c:layout>
      <c:barChart>
        <c:barDir val="bar"/>
        <c:grouping val="clustered"/>
        <c:varyColors val="0"/>
        <c:ser>
          <c:idx val="0"/>
          <c:order val="0"/>
          <c:tx>
            <c:strRef>
              <c:f>pivot1!$B$28</c:f>
              <c:strCache>
                <c:ptCount val="1"/>
                <c:pt idx="0">
                  <c:v>Average of Health Expenditure %</c:v>
                </c:pt>
              </c:strCache>
            </c:strRef>
          </c:tx>
          <c:spPr>
            <a:solidFill>
              <a:schemeClr val="accent1">
                <a:shade val="76000"/>
              </a:schemeClr>
            </a:solidFill>
            <a:ln>
              <a:noFill/>
            </a:ln>
            <a:effectLst/>
          </c:spPr>
          <c:invertIfNegative val="0"/>
          <c:cat>
            <c:strRef>
              <c:f>pivot1!$A$29:$A$39</c:f>
              <c:strCache>
                <c:ptCount val="10"/>
                <c:pt idx="0">
                  <c:v>Albania</c:v>
                </c:pt>
                <c:pt idx="1">
                  <c:v>Armenia</c:v>
                </c:pt>
                <c:pt idx="2">
                  <c:v>Chad</c:v>
                </c:pt>
                <c:pt idx="3">
                  <c:v>Georgia</c:v>
                </c:pt>
                <c:pt idx="4">
                  <c:v>Lesotho</c:v>
                </c:pt>
                <c:pt idx="5">
                  <c:v>Madagascar</c:v>
                </c:pt>
                <c:pt idx="6">
                  <c:v>Mali</c:v>
                </c:pt>
                <c:pt idx="7">
                  <c:v>Sao Tome and Principe</c:v>
                </c:pt>
                <c:pt idx="8">
                  <c:v>Sierra Leone</c:v>
                </c:pt>
                <c:pt idx="9">
                  <c:v>Tanzania</c:v>
                </c:pt>
              </c:strCache>
            </c:strRef>
          </c:cat>
          <c:val>
            <c:numRef>
              <c:f>pivot1!$B$29:$B$39</c:f>
              <c:numCache>
                <c:formatCode>General</c:formatCode>
                <c:ptCount val="10"/>
                <c:pt idx="0">
                  <c:v>6.3355417300000001</c:v>
                </c:pt>
                <c:pt idx="1">
                  <c:v>5.8618826899999998</c:v>
                </c:pt>
                <c:pt idx="2">
                  <c:v>4.8411140399999999</c:v>
                </c:pt>
                <c:pt idx="3">
                  <c:v>8.0773410800000001</c:v>
                </c:pt>
                <c:pt idx="4">
                  <c:v>5.4492669100000004</c:v>
                </c:pt>
                <c:pt idx="5">
                  <c:v>5.2026195499999996</c:v>
                </c:pt>
                <c:pt idx="6">
                  <c:v>5.1951570499999997</c:v>
                </c:pt>
                <c:pt idx="7">
                  <c:v>11.51630402</c:v>
                </c:pt>
                <c:pt idx="8">
                  <c:v>11.037729260000001</c:v>
                </c:pt>
                <c:pt idx="9">
                  <c:v>6.3228259099999997</c:v>
                </c:pt>
              </c:numCache>
            </c:numRef>
          </c:val>
          <c:extLst>
            <c:ext xmlns:c16="http://schemas.microsoft.com/office/drawing/2014/chart" uri="{C3380CC4-5D6E-409C-BE32-E72D297353CC}">
              <c16:uniqueId val="{00000000-D730-49D5-AC70-813079717769}"/>
            </c:ext>
          </c:extLst>
        </c:ser>
        <c:ser>
          <c:idx val="1"/>
          <c:order val="1"/>
          <c:tx>
            <c:strRef>
              <c:f>pivot1!$C$28</c:f>
              <c:strCache>
                <c:ptCount val="1"/>
                <c:pt idx="0">
                  <c:v>Average of Education Expenditure %</c:v>
                </c:pt>
              </c:strCache>
            </c:strRef>
          </c:tx>
          <c:spPr>
            <a:solidFill>
              <a:schemeClr val="accent1">
                <a:tint val="77000"/>
              </a:schemeClr>
            </a:solidFill>
            <a:ln>
              <a:noFill/>
            </a:ln>
            <a:effectLst/>
          </c:spPr>
          <c:invertIfNegative val="0"/>
          <c:cat>
            <c:strRef>
              <c:f>pivot1!$A$29:$A$39</c:f>
              <c:strCache>
                <c:ptCount val="10"/>
                <c:pt idx="0">
                  <c:v>Albania</c:v>
                </c:pt>
                <c:pt idx="1">
                  <c:v>Armenia</c:v>
                </c:pt>
                <c:pt idx="2">
                  <c:v>Chad</c:v>
                </c:pt>
                <c:pt idx="3">
                  <c:v>Georgia</c:v>
                </c:pt>
                <c:pt idx="4">
                  <c:v>Lesotho</c:v>
                </c:pt>
                <c:pt idx="5">
                  <c:v>Madagascar</c:v>
                </c:pt>
                <c:pt idx="6">
                  <c:v>Mali</c:v>
                </c:pt>
                <c:pt idx="7">
                  <c:v>Sao Tome and Principe</c:v>
                </c:pt>
                <c:pt idx="8">
                  <c:v>Sierra Leone</c:v>
                </c:pt>
                <c:pt idx="9">
                  <c:v>Tanzania</c:v>
                </c:pt>
              </c:strCache>
            </c:strRef>
          </c:cat>
          <c:val>
            <c:numRef>
              <c:f>pivot1!$C$29:$C$39</c:f>
              <c:numCache>
                <c:formatCode>General</c:formatCode>
                <c:ptCount val="10"/>
                <c:pt idx="0">
                  <c:v>3.2815499305725102</c:v>
                </c:pt>
                <c:pt idx="1">
                  <c:v>2.7120299339294398</c:v>
                </c:pt>
                <c:pt idx="2">
                  <c:v>1.69476997852325</c:v>
                </c:pt>
                <c:pt idx="3">
                  <c:v>2.4843199253082302</c:v>
                </c:pt>
                <c:pt idx="4">
                  <c:v>12.0796604156494</c:v>
                </c:pt>
                <c:pt idx="5">
                  <c:v>3.3096399307250999</c:v>
                </c:pt>
                <c:pt idx="6">
                  <c:v>3.5221800804138201</c:v>
                </c:pt>
                <c:pt idx="7">
                  <c:v>4.8564500808715803</c:v>
                </c:pt>
                <c:pt idx="8">
                  <c:v>2.7969799041747998</c:v>
                </c:pt>
                <c:pt idx="9">
                  <c:v>3.5462501049041699</c:v>
                </c:pt>
              </c:numCache>
            </c:numRef>
          </c:val>
          <c:extLst>
            <c:ext xmlns:c16="http://schemas.microsoft.com/office/drawing/2014/chart" uri="{C3380CC4-5D6E-409C-BE32-E72D297353CC}">
              <c16:uniqueId val="{00000001-D730-49D5-AC70-813079717769}"/>
            </c:ext>
          </c:extLst>
        </c:ser>
        <c:dLbls>
          <c:showLegendKey val="0"/>
          <c:showVal val="0"/>
          <c:showCatName val="0"/>
          <c:showSerName val="0"/>
          <c:showPercent val="0"/>
          <c:showBubbleSize val="0"/>
        </c:dLbls>
        <c:gapWidth val="182"/>
        <c:axId val="821364191"/>
        <c:axId val="821375711"/>
      </c:barChart>
      <c:catAx>
        <c:axId val="82136419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95000"/>
                  </a:schemeClr>
                </a:solidFill>
                <a:latin typeface="+mn-lt"/>
                <a:ea typeface="+mn-ea"/>
                <a:cs typeface="+mn-cs"/>
              </a:defRPr>
            </a:pPr>
            <a:endParaRPr lang="en-US"/>
          </a:p>
        </c:txPr>
        <c:crossAx val="821375711"/>
        <c:crosses val="autoZero"/>
        <c:auto val="1"/>
        <c:lblAlgn val="ctr"/>
        <c:lblOffset val="100"/>
        <c:noMultiLvlLbl val="0"/>
      </c:catAx>
      <c:valAx>
        <c:axId val="821375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atin typeface="+mn-lt"/>
                <a:ea typeface="+mn-ea"/>
                <a:cs typeface="+mn-cs"/>
              </a:defRPr>
            </a:pPr>
            <a:endParaRPr lang="en-US"/>
          </a:p>
        </c:txPr>
        <c:crossAx val="82136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[life expectancy.xlsx]pivot1!PivotTable4</c:name>
    <c:fmtId val="1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lumMod val="20000"/>
                    <a:lumOff val="80000"/>
                  </a:schemeClr>
                </a:solidFill>
              </a:rPr>
              <a:t>AVG Prevelance of Undernourishment</a:t>
            </a:r>
          </a:p>
          <a:p>
            <a:pPr marL="0" marR="0" lvl="0" indent="0" algn="ctr" defTabSz="914400" rtl="0" eaLnBrk="1" fontAlgn="auto" latinLnBrk="0" hangingPunct="1">
              <a:lnSpc>
                <a:spcPct val="100000"/>
              </a:lnSpc>
              <a:spcBef>
                <a:spcPts val="0"/>
              </a:spcBef>
              <a:spcAft>
                <a:spcPts val="0"/>
              </a:spcAft>
              <a:buClrTx/>
              <a:buSzTx/>
              <a:buFontTx/>
              <a:buNone/>
              <a:tabLst/>
              <a:defRPr sz="1600">
                <a:solidFill>
                  <a:sysClr val="windowText" lastClr="000000">
                    <a:lumMod val="65000"/>
                    <a:lumOff val="35000"/>
                  </a:sysClr>
                </a:solidFill>
              </a:defRPr>
            </a:pPr>
            <a:endParaRPr lang="en-US" sz="1600"/>
          </a:p>
        </c:rich>
      </c:tx>
      <c:layout>
        <c:manualLayout>
          <c:xMode val="edge"/>
          <c:yMode val="edge"/>
          <c:x val="0.30293264257335017"/>
          <c:y val="2.0080321285140562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hade val="53000"/>
            </a:schemeClr>
          </a:solidFill>
          <a:ln w="19050">
            <a:solidFill>
              <a:schemeClr val="lt1"/>
            </a:solidFill>
          </a:ln>
          <a:effectLst/>
        </c:spPr>
      </c:pivotFmt>
      <c:pivotFmt>
        <c:idx val="10"/>
        <c:spPr>
          <a:solidFill>
            <a:schemeClr val="accent1">
              <a:shade val="76000"/>
            </a:schemeClr>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tint val="77000"/>
            </a:schemeClr>
          </a:solidFill>
          <a:ln w="19050">
            <a:solidFill>
              <a:schemeClr val="lt1"/>
            </a:solidFill>
          </a:ln>
          <a:effectLst/>
        </c:spPr>
      </c:pivotFmt>
      <c:pivotFmt>
        <c:idx val="13"/>
        <c:spPr>
          <a:solidFill>
            <a:schemeClr val="accent1">
              <a:tint val="54000"/>
            </a:schemeClr>
          </a:solidFill>
          <a:ln w="19050">
            <a:solidFill>
              <a:schemeClr val="lt1"/>
            </a:solidFill>
          </a:ln>
          <a:effectLst/>
        </c:spPr>
      </c:pivotFmt>
      <c:pivotFmt>
        <c:idx val="14"/>
        <c:spPr>
          <a:solidFill>
            <a:schemeClr val="accent1">
              <a:tint val="54000"/>
            </a:schemeClr>
          </a:solidFill>
          <a:ln w="19050">
            <a:solidFill>
              <a:schemeClr val="lt1"/>
            </a:solidFill>
          </a:ln>
          <a:effectLst/>
        </c:spPr>
      </c:pivotFmt>
      <c:pivotFmt>
        <c:idx val="15"/>
        <c:spPr>
          <a:solidFill>
            <a:schemeClr val="accent1">
              <a:tint val="54000"/>
            </a:schemeClr>
          </a:solidFill>
          <a:ln w="19050">
            <a:solidFill>
              <a:schemeClr val="lt1"/>
            </a:solidFill>
          </a:ln>
          <a:effectLst/>
        </c:spPr>
      </c:pivotFmt>
    </c:pivotFmts>
    <c:plotArea>
      <c:layout>
        <c:manualLayout>
          <c:layoutTarget val="inner"/>
          <c:xMode val="edge"/>
          <c:yMode val="edge"/>
          <c:x val="0.11595222994958358"/>
          <c:y val="0.27524942288840398"/>
          <c:w val="0.46841572491816197"/>
          <c:h val="0.72475057711159596"/>
        </c:manualLayout>
      </c:layout>
      <c:pieChart>
        <c:varyColors val="1"/>
        <c:ser>
          <c:idx val="0"/>
          <c:order val="0"/>
          <c:tx>
            <c:strRef>
              <c:f>pivot1!$I$2</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9447-49F9-8EA0-F7882B3B5430}"/>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9447-49F9-8EA0-F7882B3B5430}"/>
              </c:ext>
            </c:extLst>
          </c:dPt>
          <c:dPt>
            <c:idx val="2"/>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5-9447-49F9-8EA0-F7882B3B5430}"/>
              </c:ext>
            </c:extLst>
          </c:dPt>
          <c:dPt>
            <c:idx val="3"/>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7-9447-49F9-8EA0-F7882B3B5430}"/>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9447-49F9-8EA0-F7882B3B5430}"/>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pivot1!$H$3:$H$8</c:f>
              <c:strCache>
                <c:ptCount val="5"/>
                <c:pt idx="0">
                  <c:v>Albania</c:v>
                </c:pt>
                <c:pt idx="1">
                  <c:v>Djibouti</c:v>
                </c:pt>
                <c:pt idx="2">
                  <c:v>Georgia</c:v>
                </c:pt>
                <c:pt idx="3">
                  <c:v>Lesotho</c:v>
                </c:pt>
                <c:pt idx="4">
                  <c:v>Sao Tome and Principe</c:v>
                </c:pt>
              </c:strCache>
            </c:strRef>
          </c:cat>
          <c:val>
            <c:numRef>
              <c:f>pivot1!$I$3:$I$8</c:f>
              <c:numCache>
                <c:formatCode>General</c:formatCode>
                <c:ptCount val="5"/>
                <c:pt idx="0">
                  <c:v>15.9700002670288</c:v>
                </c:pt>
                <c:pt idx="1">
                  <c:v>27.719999313354499</c:v>
                </c:pt>
                <c:pt idx="2">
                  <c:v>13.810000419616699</c:v>
                </c:pt>
                <c:pt idx="3">
                  <c:v>31.309999465942401</c:v>
                </c:pt>
                <c:pt idx="4">
                  <c:v>16.469999313354499</c:v>
                </c:pt>
              </c:numCache>
            </c:numRef>
          </c:val>
          <c:extLst>
            <c:ext xmlns:c16="http://schemas.microsoft.com/office/drawing/2014/chart" uri="{C3380CC4-5D6E-409C-BE32-E72D297353CC}">
              <c16:uniqueId val="{0000000A-9447-49F9-8EA0-F7882B3B543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3557685634384629"/>
          <c:y val="0.36012751794579895"/>
          <c:w val="0.24519236957206986"/>
          <c:h val="0.61197348448913769"/>
        </c:manualLayout>
      </c:layout>
      <c:overlay val="0"/>
      <c:spPr>
        <a:noFill/>
        <a:ln>
          <a:noFill/>
        </a:ln>
        <a:effectLst/>
      </c:spPr>
      <c:txPr>
        <a:bodyPr rot="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[life expectancy.xlsx]pivot1!PivotTable5</c:name>
    <c:fmtId val="21"/>
  </c:pivotSource>
  <c:chart>
    <c:title>
      <c:tx>
        <c:rich>
          <a:bodyPr rot="0" spcFirstLastPara="1" vertOverflow="ellipsis" vert="horz" wrap="square" anchor="ctr" anchorCtr="1"/>
          <a:lstStyle/>
          <a:p>
            <a:pPr>
              <a:defRPr sz="1600" b="1"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lumMod val="20000"/>
                    <a:lumOff val="80000"/>
                  </a:schemeClr>
                </a:solidFill>
                <a:latin typeface="+mn-lt"/>
                <a:ea typeface="+mn-ea"/>
                <a:cs typeface="+mn-cs"/>
              </a:defRPr>
            </a:pPr>
            <a:r>
              <a:rPr lang="en-US" sz="160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lumMod val="20000"/>
                    <a:lumOff val="80000"/>
                  </a:schemeClr>
                </a:solidFill>
              </a:rPr>
              <a:t>AVG </a:t>
            </a:r>
            <a:r>
              <a:rPr lang="en-US" sz="16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lumMod val="20000"/>
                    <a:lumOff val="80000"/>
                  </a:schemeClr>
                </a:solidFill>
              </a:rPr>
              <a:t> of unemployment</a:t>
            </a:r>
            <a:endParaRPr lang="en-US" sz="160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lumMod val="20000"/>
                  <a:lumOff val="8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lumMod val="20000"/>
                  <a:lumOff val="8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hade val="53000"/>
            </a:schemeClr>
          </a:solidFill>
          <a:ln w="19050">
            <a:solidFill>
              <a:schemeClr val="lt1"/>
            </a:solidFill>
          </a:ln>
          <a:effectLst/>
        </c:spPr>
      </c:pivotFmt>
      <c:pivotFmt>
        <c:idx val="9"/>
        <c:spPr>
          <a:solidFill>
            <a:schemeClr val="accent1">
              <a:shade val="76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tint val="77000"/>
            </a:schemeClr>
          </a:solidFill>
          <a:ln w="19050">
            <a:solidFill>
              <a:schemeClr val="lt1"/>
            </a:solidFill>
          </a:ln>
          <a:effectLst/>
        </c:spPr>
      </c:pivotFmt>
      <c:pivotFmt>
        <c:idx val="12"/>
        <c:spPr>
          <a:solidFill>
            <a:schemeClr val="accent1">
              <a:tint val="54000"/>
            </a:schemeClr>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8.8639721072366826E-2"/>
          <c:y val="0.18758251754206556"/>
          <c:w val="0.43060354740132678"/>
          <c:h val="0.70334152772151703"/>
        </c:manualLayout>
      </c:layout>
      <c:pieChart>
        <c:varyColors val="1"/>
        <c:ser>
          <c:idx val="0"/>
          <c:order val="0"/>
          <c:tx>
            <c:strRef>
              <c:f>pivot1!$I$13</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CFD1-4066-AAA2-2B5801716CCD}"/>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CFD1-4066-AAA2-2B5801716CCD}"/>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CFD1-4066-AAA2-2B5801716CCD}"/>
              </c:ext>
            </c:extLst>
          </c:dPt>
          <c:dPt>
            <c:idx val="3"/>
            <c:bubble3D val="0"/>
            <c:spPr>
              <a:solidFill>
                <a:schemeClr val="accent1"/>
              </a:solidFill>
              <a:ln w="19050">
                <a:solidFill>
                  <a:schemeClr val="lt1"/>
                </a:solidFill>
              </a:ln>
              <a:effectLst/>
            </c:spPr>
            <c:extLst>
              <c:ext xmlns:c16="http://schemas.microsoft.com/office/drawing/2014/chart" uri="{C3380CC4-5D6E-409C-BE32-E72D297353CC}">
                <c16:uniqueId val="{00000007-CFD1-4066-AAA2-2B5801716CCD}"/>
              </c:ext>
            </c:extLst>
          </c:dPt>
          <c:dPt>
            <c:idx val="4"/>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9-CFD1-4066-AAA2-2B5801716CCD}"/>
              </c:ext>
            </c:extLst>
          </c:dPt>
          <c:dLbls>
            <c:spPr>
              <a:noFill/>
              <a:ln>
                <a:noFill/>
              </a:ln>
              <a:effectLst/>
            </c:spPr>
            <c:txPr>
              <a:bodyPr rot="0" spcFirstLastPara="1" vertOverflow="ellipsis" vert="horz" wrap="square" anchor="ctr" anchorCtr="1"/>
              <a:lstStyle/>
              <a:p>
                <a:pPr>
                  <a:defRPr sz="1400" b="1" i="0" u="none" strike="noStrike" kern="120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pivot1!$H$14:$H$19</c:f>
              <c:strCache>
                <c:ptCount val="5"/>
                <c:pt idx="0">
                  <c:v>Central African Republic</c:v>
                </c:pt>
                <c:pt idx="1">
                  <c:v>Chad</c:v>
                </c:pt>
                <c:pt idx="2">
                  <c:v>Djibouti</c:v>
                </c:pt>
                <c:pt idx="3">
                  <c:v>Madagascar</c:v>
                </c:pt>
                <c:pt idx="4">
                  <c:v>Sierra Leone</c:v>
                </c:pt>
              </c:strCache>
            </c:strRef>
          </c:cat>
          <c:val>
            <c:numRef>
              <c:f>pivot1!$I$14:$I$19</c:f>
              <c:numCache>
                <c:formatCode>General</c:formatCode>
                <c:ptCount val="5"/>
                <c:pt idx="0">
                  <c:v>39.6</c:v>
                </c:pt>
                <c:pt idx="1">
                  <c:v>37.799999999999997</c:v>
                </c:pt>
                <c:pt idx="2">
                  <c:v>31.3</c:v>
                </c:pt>
                <c:pt idx="3">
                  <c:v>33.4</c:v>
                </c:pt>
                <c:pt idx="4">
                  <c:v>46.7</c:v>
                </c:pt>
              </c:numCache>
            </c:numRef>
          </c:val>
          <c:extLst>
            <c:ext xmlns:c16="http://schemas.microsoft.com/office/drawing/2014/chart" uri="{C3380CC4-5D6E-409C-BE32-E72D297353CC}">
              <c16:uniqueId val="{0000000A-CFD1-4066-AAA2-2B5801716CCD}"/>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64810332327697096"/>
          <c:y val="0.31601383469512978"/>
          <c:w val="0.33333333333333331"/>
          <c:h val="0.61099589272540467"/>
        </c:manualLayout>
      </c:layout>
      <c:overlay val="0"/>
      <c:spPr>
        <a:noFill/>
        <a:ln>
          <a:noFill/>
        </a:ln>
        <a:effectLst/>
      </c:spPr>
      <c:txPr>
        <a:bodyPr rot="0" spcFirstLastPara="1" vertOverflow="ellipsis" vert="horz" wrap="square" anchor="ctr" anchorCtr="1"/>
        <a:lstStyle/>
        <a:p>
          <a:pPr>
            <a:defRPr sz="900" b="1"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accent2">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[life expectancy.xlsx]pivot1!PivotTable1</c:name>
    <c:fmtId val="19"/>
  </c:pivotSource>
  <c:chart>
    <c:title>
      <c:tx>
        <c:rich>
          <a:bodyPr rot="0" spcFirstLastPara="1" vertOverflow="ellipsis" vert="horz" wrap="square" anchor="ctr" anchorCtr="1"/>
          <a:lstStyle/>
          <a:p>
            <a:pPr>
              <a:defRPr sz="1600" b="1" i="0" u="none" strike="noStrike" kern="1200" spc="0" baseline="0">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solidFill>
                  <a:schemeClr val="accent6">
                    <a:lumMod val="20000"/>
                    <a:lumOff val="80000"/>
                  </a:schemeClr>
                </a:solidFill>
                <a:latin typeface="+mn-lt"/>
                <a:ea typeface="+mn-ea"/>
                <a:cs typeface="+mn-cs"/>
              </a:defRPr>
            </a:pPr>
            <a:r>
              <a:rPr lang="en-US" sz="1600" b="1">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solidFill>
                  <a:schemeClr val="accent6">
                    <a:lumMod val="20000"/>
                    <a:lumOff val="80000"/>
                  </a:schemeClr>
                </a:solidFill>
              </a:rPr>
              <a:t>Top</a:t>
            </a:r>
            <a:r>
              <a:rPr lang="en-US" sz="1600" b="1" baseline="0">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solidFill>
                  <a:schemeClr val="accent6">
                    <a:lumMod val="20000"/>
                    <a:lumOff val="80000"/>
                  </a:schemeClr>
                </a:solidFill>
              </a:rPr>
              <a:t> countries by life expectancy</a:t>
            </a:r>
            <a:endParaRPr lang="en-US" sz="1600" b="1">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solidFill>
                <a:schemeClr val="accent6">
                  <a:lumMod val="20000"/>
                  <a:lumOff val="8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solidFill>
                <a:schemeClr val="accent6">
                  <a:lumMod val="20000"/>
                  <a:lumOff val="80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pivot1!$B$1</c:f>
              <c:strCache>
                <c:ptCount val="1"/>
                <c:pt idx="0">
                  <c:v>Total</c:v>
                </c:pt>
              </c:strCache>
            </c:strRef>
          </c:tx>
          <c:spPr>
            <a:solidFill>
              <a:schemeClr val="accent1"/>
            </a:solidFill>
            <a:ln>
              <a:noFill/>
            </a:ln>
            <a:effectLst/>
          </c:spPr>
          <c:invertIfNegative val="0"/>
          <c:cat>
            <c:strRef>
              <c:f>pivot1!$A$2:$A$12</c:f>
              <c:strCache>
                <c:ptCount val="10"/>
                <c:pt idx="0">
                  <c:v>Albania</c:v>
                </c:pt>
                <c:pt idx="1">
                  <c:v>Armenia</c:v>
                </c:pt>
                <c:pt idx="2">
                  <c:v>Azerbaijan</c:v>
                </c:pt>
                <c:pt idx="3">
                  <c:v>Georgia</c:v>
                </c:pt>
                <c:pt idx="4">
                  <c:v>Ghana</c:v>
                </c:pt>
                <c:pt idx="5">
                  <c:v>India</c:v>
                </c:pt>
                <c:pt idx="6">
                  <c:v>Madagascar</c:v>
                </c:pt>
                <c:pt idx="7">
                  <c:v>Nepal</c:v>
                </c:pt>
                <c:pt idx="8">
                  <c:v>Sao Tome and Principe</c:v>
                </c:pt>
                <c:pt idx="9">
                  <c:v>Senegal</c:v>
                </c:pt>
              </c:strCache>
            </c:strRef>
          </c:cat>
          <c:val>
            <c:numRef>
              <c:f>pivot1!$B$2:$B$12</c:f>
              <c:numCache>
                <c:formatCode>General</c:formatCode>
                <c:ptCount val="10"/>
                <c:pt idx="0">
                  <c:v>75.227999999999994</c:v>
                </c:pt>
                <c:pt idx="1">
                  <c:v>72.626000000000005</c:v>
                </c:pt>
                <c:pt idx="2">
                  <c:v>68.747</c:v>
                </c:pt>
                <c:pt idx="3">
                  <c:v>70.537999999999997</c:v>
                </c:pt>
                <c:pt idx="4">
                  <c:v>58.719000000000001</c:v>
                </c:pt>
                <c:pt idx="5">
                  <c:v>64.5</c:v>
                </c:pt>
                <c:pt idx="6">
                  <c:v>61.212000000000003</c:v>
                </c:pt>
                <c:pt idx="7">
                  <c:v>65.263999999999996</c:v>
                </c:pt>
                <c:pt idx="8">
                  <c:v>64.659000000000006</c:v>
                </c:pt>
                <c:pt idx="9">
                  <c:v>60.62</c:v>
                </c:pt>
              </c:numCache>
            </c:numRef>
          </c:val>
          <c:extLst>
            <c:ext xmlns:c16="http://schemas.microsoft.com/office/drawing/2014/chart" uri="{C3380CC4-5D6E-409C-BE32-E72D297353CC}">
              <c16:uniqueId val="{00000000-78F0-4CF1-8813-8170F8012050}"/>
            </c:ext>
          </c:extLst>
        </c:ser>
        <c:dLbls>
          <c:showLegendKey val="0"/>
          <c:showVal val="0"/>
          <c:showCatName val="0"/>
          <c:showSerName val="0"/>
          <c:showPercent val="0"/>
          <c:showBubbleSize val="0"/>
        </c:dLbls>
        <c:gapWidth val="219"/>
        <c:overlap val="-27"/>
        <c:axId val="867173967"/>
        <c:axId val="867171567"/>
      </c:barChart>
      <c:catAx>
        <c:axId val="86717396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ln>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solidFill>
                  <a:schemeClr val="bg1">
                    <a:lumMod val="95000"/>
                  </a:schemeClr>
                </a:solidFill>
                <a:latin typeface="+mn-lt"/>
                <a:ea typeface="+mn-ea"/>
                <a:cs typeface="+mn-cs"/>
              </a:defRPr>
            </a:pPr>
            <a:endParaRPr lang="en-US"/>
          </a:p>
        </c:txPr>
        <c:crossAx val="867171567"/>
        <c:crosses val="autoZero"/>
        <c:auto val="1"/>
        <c:lblAlgn val="ctr"/>
        <c:lblOffset val="100"/>
        <c:noMultiLvlLbl val="0"/>
      </c:catAx>
      <c:valAx>
        <c:axId val="867171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solidFill>
                  <a:schemeClr val="bg1">
                    <a:lumMod val="85000"/>
                  </a:schemeClr>
                </a:solidFill>
                <a:latin typeface="+mn-lt"/>
                <a:ea typeface="+mn-ea"/>
                <a:cs typeface="+mn-cs"/>
              </a:defRPr>
            </a:pPr>
            <a:endParaRPr lang="en-US"/>
          </a:p>
        </c:txPr>
        <c:crossAx val="867173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[life expectancy.xlsx]pivot1!PivotTable2</c:name>
    <c:fmtId val="18"/>
  </c:pivotSource>
  <c:chart>
    <c:title>
      <c:tx>
        <c:rich>
          <a:bodyPr rot="0" spcFirstLastPara="1" vertOverflow="ellipsis" vert="horz" wrap="square" anchor="ctr" anchorCtr="1"/>
          <a:lstStyle/>
          <a:p>
            <a:pPr>
              <a:defRPr sz="1600" b="1" i="0" u="none" strike="noStrike" kern="1200" spc="0" baseline="0">
                <a:ln>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solidFill>
                  <a:schemeClr val="tx1">
                    <a:lumMod val="65000"/>
                    <a:lumOff val="35000"/>
                  </a:schemeClr>
                </a:solidFill>
                <a:latin typeface="+mn-lt"/>
                <a:ea typeface="+mn-ea"/>
                <a:cs typeface="+mn-cs"/>
              </a:defRPr>
            </a:pPr>
            <a:r>
              <a:rPr lang="en-US" sz="1600" b="1">
                <a:ln>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rPr>
              <a:t>The</a:t>
            </a:r>
            <a:r>
              <a:rPr lang="en-US" sz="1600" b="1" baseline="0">
                <a:ln>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rPr>
              <a:t> least countries by life expectancy</a:t>
            </a:r>
            <a:endParaRPr lang="en-US" sz="1600" b="1">
              <a:ln>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endParaRPr>
          </a:p>
        </c:rich>
      </c:tx>
      <c:overlay val="0"/>
      <c:spPr>
        <a:noFill/>
        <a:ln>
          <a:noFill/>
        </a:ln>
        <a:effectLst/>
      </c:spPr>
      <c:txPr>
        <a:bodyPr rot="0" spcFirstLastPara="1" vertOverflow="ellipsis" vert="horz" wrap="square" anchor="ctr" anchorCtr="1"/>
        <a:lstStyle/>
        <a:p>
          <a:pPr>
            <a:defRPr sz="1600" b="1" i="0" u="none" strike="noStrike" kern="1200" spc="0" baseline="0">
              <a:ln>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365664157372606E-2"/>
          <c:y val="0.15659403568723468"/>
          <c:w val="0.88387365724573763"/>
          <c:h val="0.57291423941297992"/>
        </c:manualLayout>
      </c:layout>
      <c:barChart>
        <c:barDir val="col"/>
        <c:grouping val="clustered"/>
        <c:varyColors val="0"/>
        <c:ser>
          <c:idx val="0"/>
          <c:order val="0"/>
          <c:tx>
            <c:strRef>
              <c:f>pivot1!$B$14</c:f>
              <c:strCache>
                <c:ptCount val="1"/>
                <c:pt idx="0">
                  <c:v>Total</c:v>
                </c:pt>
              </c:strCache>
            </c:strRef>
          </c:tx>
          <c:spPr>
            <a:solidFill>
              <a:schemeClr val="accent1"/>
            </a:solidFill>
            <a:ln>
              <a:noFill/>
            </a:ln>
            <a:effectLst/>
          </c:spPr>
          <c:invertIfNegative val="0"/>
          <c:cat>
            <c:strRef>
              <c:f>pivot1!$A$15:$A$25</c:f>
              <c:strCache>
                <c:ptCount val="10"/>
                <c:pt idx="0">
                  <c:v>Central African Republic</c:v>
                </c:pt>
                <c:pt idx="1">
                  <c:v>Chad</c:v>
                </c:pt>
                <c:pt idx="2">
                  <c:v>Djibouti</c:v>
                </c:pt>
                <c:pt idx="3">
                  <c:v>Ghana</c:v>
                </c:pt>
                <c:pt idx="4">
                  <c:v>Lesotho</c:v>
                </c:pt>
                <c:pt idx="5">
                  <c:v>Mali</c:v>
                </c:pt>
                <c:pt idx="6">
                  <c:v>Senegal</c:v>
                </c:pt>
                <c:pt idx="7">
                  <c:v>Sierra Leone</c:v>
                </c:pt>
                <c:pt idx="8">
                  <c:v>Tanzania</c:v>
                </c:pt>
                <c:pt idx="9">
                  <c:v>Togo</c:v>
                </c:pt>
              </c:strCache>
            </c:strRef>
          </c:cat>
          <c:val>
            <c:numRef>
              <c:f>pivot1!$B$15:$B$25</c:f>
              <c:numCache>
                <c:formatCode>General</c:formatCode>
                <c:ptCount val="10"/>
                <c:pt idx="0">
                  <c:v>44.744</c:v>
                </c:pt>
                <c:pt idx="1">
                  <c:v>48.548999999999999</c:v>
                </c:pt>
                <c:pt idx="2">
                  <c:v>57.991</c:v>
                </c:pt>
                <c:pt idx="3">
                  <c:v>58.719000000000001</c:v>
                </c:pt>
                <c:pt idx="4">
                  <c:v>42.658000000000001</c:v>
                </c:pt>
                <c:pt idx="5">
                  <c:v>52.057000000000002</c:v>
                </c:pt>
                <c:pt idx="6">
                  <c:v>60.62</c:v>
                </c:pt>
                <c:pt idx="7">
                  <c:v>44.502000000000002</c:v>
                </c:pt>
                <c:pt idx="8">
                  <c:v>54.348999999999997</c:v>
                </c:pt>
                <c:pt idx="9">
                  <c:v>54.601999999999997</c:v>
                </c:pt>
              </c:numCache>
            </c:numRef>
          </c:val>
          <c:extLst>
            <c:ext xmlns:c16="http://schemas.microsoft.com/office/drawing/2014/chart" uri="{C3380CC4-5D6E-409C-BE32-E72D297353CC}">
              <c16:uniqueId val="{00000000-06AF-4BF3-9E08-C87284BDF4E6}"/>
            </c:ext>
          </c:extLst>
        </c:ser>
        <c:dLbls>
          <c:showLegendKey val="0"/>
          <c:showVal val="0"/>
          <c:showCatName val="0"/>
          <c:showSerName val="0"/>
          <c:showPercent val="0"/>
          <c:showBubbleSize val="0"/>
        </c:dLbls>
        <c:gapWidth val="219"/>
        <c:overlap val="-27"/>
        <c:axId val="821360351"/>
        <c:axId val="821354591"/>
      </c:barChart>
      <c:catAx>
        <c:axId val="82136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ln>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solidFill>
                  <a:schemeClr val="bg1">
                    <a:lumMod val="95000"/>
                  </a:schemeClr>
                </a:solidFill>
                <a:latin typeface="+mn-lt"/>
                <a:ea typeface="+mn-ea"/>
                <a:cs typeface="+mn-cs"/>
              </a:defRPr>
            </a:pPr>
            <a:endParaRPr lang="en-US"/>
          </a:p>
        </c:txPr>
        <c:crossAx val="821354591"/>
        <c:crosses val="autoZero"/>
        <c:auto val="1"/>
        <c:lblAlgn val="ctr"/>
        <c:lblOffset val="100"/>
        <c:noMultiLvlLbl val="0"/>
      </c:catAx>
      <c:valAx>
        <c:axId val="821354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solidFill>
                  <a:schemeClr val="bg1">
                    <a:lumMod val="95000"/>
                  </a:schemeClr>
                </a:solidFill>
                <a:latin typeface="+mn-lt"/>
                <a:ea typeface="+mn-ea"/>
                <a:cs typeface="+mn-cs"/>
              </a:defRPr>
            </a:pPr>
            <a:endParaRPr lang="en-US"/>
          </a:p>
        </c:txPr>
        <c:crossAx val="82136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[life expectancy.xlsx]pivot1!PivotTable3</c:name>
    <c:fmtId val="39"/>
  </c:pivotSource>
  <c:chart>
    <c:title>
      <c:tx>
        <c:rich>
          <a:bodyPr rot="0" spcFirstLastPara="1" vertOverflow="ellipsis" vert="horz" wrap="square" anchor="ctr" anchorCtr="1"/>
          <a:lstStyle/>
          <a:p>
            <a:pPr>
              <a:defRPr sz="1600" b="1" i="0" u="none" strike="noStrike" kern="1200" spc="0" baseline="0">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solidFill>
                  <a:schemeClr val="accent6">
                    <a:lumMod val="20000"/>
                    <a:lumOff val="80000"/>
                  </a:schemeClr>
                </a:solidFill>
                <a:latin typeface="+mn-lt"/>
                <a:ea typeface="+mn-ea"/>
                <a:cs typeface="+mn-cs"/>
              </a:defRPr>
            </a:pPr>
            <a:r>
              <a:rPr lang="en-US" sz="1600" b="1">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solidFill>
                  <a:schemeClr val="accent6">
                    <a:lumMod val="20000"/>
                    <a:lumOff val="80000"/>
                  </a:schemeClr>
                </a:solidFill>
              </a:rPr>
              <a:t>Top</a:t>
            </a:r>
            <a:r>
              <a:rPr lang="en-US" sz="1600" b="1" baseline="0">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solidFill>
                  <a:schemeClr val="accent6">
                    <a:lumMod val="20000"/>
                    <a:lumOff val="80000"/>
                  </a:schemeClr>
                </a:solidFill>
              </a:rPr>
              <a:t> countries by avg health and education expenditure</a:t>
            </a:r>
            <a:endParaRPr lang="en-US" sz="1600" b="1">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solidFill>
                <a:schemeClr val="accent6">
                  <a:lumMod val="20000"/>
                  <a:lumOff val="80000"/>
                </a:schemeClr>
              </a:solidFill>
            </a:endParaRPr>
          </a:p>
        </c:rich>
      </c:tx>
      <c:layout>
        <c:manualLayout>
          <c:xMode val="edge"/>
          <c:yMode val="edge"/>
          <c:x val="0.14040646072163449"/>
          <c:y val="9.3531549874374016E-3"/>
        </c:manualLayout>
      </c:layout>
      <c:overlay val="0"/>
      <c:spPr>
        <a:noFill/>
        <a:ln>
          <a:noFill/>
        </a:ln>
        <a:effectLst/>
      </c:spPr>
      <c:txPr>
        <a:bodyPr rot="0" spcFirstLastPara="1" vertOverflow="ellipsis" vert="horz" wrap="square" anchor="ctr" anchorCtr="1"/>
        <a:lstStyle/>
        <a:p>
          <a:pPr>
            <a:defRPr sz="1600" b="1" i="0" u="none" strike="noStrike" kern="1200" spc="0" baseline="0">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solidFill>
                <a:schemeClr val="accent6">
                  <a:lumMod val="20000"/>
                  <a:lumOff val="8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94462326686299"/>
          <c:y val="0.22694716980987242"/>
          <c:w val="0.53029866916843149"/>
          <c:h val="0.67063371894647439"/>
        </c:manualLayout>
      </c:layout>
      <c:barChart>
        <c:barDir val="bar"/>
        <c:grouping val="clustered"/>
        <c:varyColors val="0"/>
        <c:ser>
          <c:idx val="0"/>
          <c:order val="0"/>
          <c:tx>
            <c:strRef>
              <c:f>pivot1!$B$28</c:f>
              <c:strCache>
                <c:ptCount val="1"/>
                <c:pt idx="0">
                  <c:v>Average of Health Expenditure %</c:v>
                </c:pt>
              </c:strCache>
            </c:strRef>
          </c:tx>
          <c:spPr>
            <a:solidFill>
              <a:schemeClr val="accent1">
                <a:shade val="76000"/>
              </a:schemeClr>
            </a:solidFill>
            <a:ln>
              <a:noFill/>
            </a:ln>
            <a:effectLst/>
          </c:spPr>
          <c:invertIfNegative val="0"/>
          <c:cat>
            <c:strRef>
              <c:f>pivot1!$A$29:$A$39</c:f>
              <c:strCache>
                <c:ptCount val="10"/>
                <c:pt idx="0">
                  <c:v>Albania</c:v>
                </c:pt>
                <c:pt idx="1">
                  <c:v>Armenia</c:v>
                </c:pt>
                <c:pt idx="2">
                  <c:v>Chad</c:v>
                </c:pt>
                <c:pt idx="3">
                  <c:v>Georgia</c:v>
                </c:pt>
                <c:pt idx="4">
                  <c:v>Lesotho</c:v>
                </c:pt>
                <c:pt idx="5">
                  <c:v>Madagascar</c:v>
                </c:pt>
                <c:pt idx="6">
                  <c:v>Mali</c:v>
                </c:pt>
                <c:pt idx="7">
                  <c:v>Sao Tome and Principe</c:v>
                </c:pt>
                <c:pt idx="8">
                  <c:v>Sierra Leone</c:v>
                </c:pt>
                <c:pt idx="9">
                  <c:v>Tanzania</c:v>
                </c:pt>
              </c:strCache>
            </c:strRef>
          </c:cat>
          <c:val>
            <c:numRef>
              <c:f>pivot1!$B$29:$B$39</c:f>
              <c:numCache>
                <c:formatCode>General</c:formatCode>
                <c:ptCount val="10"/>
                <c:pt idx="0">
                  <c:v>6.3355417300000001</c:v>
                </c:pt>
                <c:pt idx="1">
                  <c:v>5.8618826899999998</c:v>
                </c:pt>
                <c:pt idx="2">
                  <c:v>4.8411140399999999</c:v>
                </c:pt>
                <c:pt idx="3">
                  <c:v>8.0773410800000001</c:v>
                </c:pt>
                <c:pt idx="4">
                  <c:v>5.4492669100000004</c:v>
                </c:pt>
                <c:pt idx="5">
                  <c:v>5.2026195499999996</c:v>
                </c:pt>
                <c:pt idx="6">
                  <c:v>5.1951570499999997</c:v>
                </c:pt>
                <c:pt idx="7">
                  <c:v>11.51630402</c:v>
                </c:pt>
                <c:pt idx="8">
                  <c:v>11.037729260000001</c:v>
                </c:pt>
                <c:pt idx="9">
                  <c:v>6.3228259099999997</c:v>
                </c:pt>
              </c:numCache>
            </c:numRef>
          </c:val>
          <c:extLst>
            <c:ext xmlns:c16="http://schemas.microsoft.com/office/drawing/2014/chart" uri="{C3380CC4-5D6E-409C-BE32-E72D297353CC}">
              <c16:uniqueId val="{00000000-F80B-4C99-88C6-EC8FE8089F85}"/>
            </c:ext>
          </c:extLst>
        </c:ser>
        <c:ser>
          <c:idx val="1"/>
          <c:order val="1"/>
          <c:tx>
            <c:strRef>
              <c:f>pivot1!$C$28</c:f>
              <c:strCache>
                <c:ptCount val="1"/>
                <c:pt idx="0">
                  <c:v>Average of Education Expenditure %</c:v>
                </c:pt>
              </c:strCache>
            </c:strRef>
          </c:tx>
          <c:spPr>
            <a:solidFill>
              <a:schemeClr val="accent1">
                <a:tint val="77000"/>
              </a:schemeClr>
            </a:solidFill>
            <a:ln>
              <a:noFill/>
            </a:ln>
            <a:effectLst/>
          </c:spPr>
          <c:invertIfNegative val="0"/>
          <c:cat>
            <c:strRef>
              <c:f>pivot1!$A$29:$A$39</c:f>
              <c:strCache>
                <c:ptCount val="10"/>
                <c:pt idx="0">
                  <c:v>Albania</c:v>
                </c:pt>
                <c:pt idx="1">
                  <c:v>Armenia</c:v>
                </c:pt>
                <c:pt idx="2">
                  <c:v>Chad</c:v>
                </c:pt>
                <c:pt idx="3">
                  <c:v>Georgia</c:v>
                </c:pt>
                <c:pt idx="4">
                  <c:v>Lesotho</c:v>
                </c:pt>
                <c:pt idx="5">
                  <c:v>Madagascar</c:v>
                </c:pt>
                <c:pt idx="6">
                  <c:v>Mali</c:v>
                </c:pt>
                <c:pt idx="7">
                  <c:v>Sao Tome and Principe</c:v>
                </c:pt>
                <c:pt idx="8">
                  <c:v>Sierra Leone</c:v>
                </c:pt>
                <c:pt idx="9">
                  <c:v>Tanzania</c:v>
                </c:pt>
              </c:strCache>
            </c:strRef>
          </c:cat>
          <c:val>
            <c:numRef>
              <c:f>pivot1!$C$29:$C$39</c:f>
              <c:numCache>
                <c:formatCode>General</c:formatCode>
                <c:ptCount val="10"/>
                <c:pt idx="0">
                  <c:v>3.2815499305725102</c:v>
                </c:pt>
                <c:pt idx="1">
                  <c:v>2.7120299339294398</c:v>
                </c:pt>
                <c:pt idx="2">
                  <c:v>1.69476997852325</c:v>
                </c:pt>
                <c:pt idx="3">
                  <c:v>2.4843199253082302</c:v>
                </c:pt>
                <c:pt idx="4">
                  <c:v>12.0796604156494</c:v>
                </c:pt>
                <c:pt idx="5">
                  <c:v>3.3096399307250999</c:v>
                </c:pt>
                <c:pt idx="6">
                  <c:v>3.5221800804138201</c:v>
                </c:pt>
                <c:pt idx="7">
                  <c:v>4.8564500808715803</c:v>
                </c:pt>
                <c:pt idx="8">
                  <c:v>2.7969799041747998</c:v>
                </c:pt>
                <c:pt idx="9">
                  <c:v>3.5462501049041699</c:v>
                </c:pt>
              </c:numCache>
            </c:numRef>
          </c:val>
          <c:extLst>
            <c:ext xmlns:c16="http://schemas.microsoft.com/office/drawing/2014/chart" uri="{C3380CC4-5D6E-409C-BE32-E72D297353CC}">
              <c16:uniqueId val="{00000001-F80B-4C99-88C6-EC8FE8089F85}"/>
            </c:ext>
          </c:extLst>
        </c:ser>
        <c:dLbls>
          <c:showLegendKey val="0"/>
          <c:showVal val="0"/>
          <c:showCatName val="0"/>
          <c:showSerName val="0"/>
          <c:showPercent val="0"/>
          <c:showBubbleSize val="0"/>
        </c:dLbls>
        <c:gapWidth val="182"/>
        <c:axId val="821364191"/>
        <c:axId val="821375711"/>
      </c:barChart>
      <c:catAx>
        <c:axId val="82136419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95000"/>
                  </a:schemeClr>
                </a:solidFill>
                <a:latin typeface="+mn-lt"/>
                <a:ea typeface="+mn-ea"/>
                <a:cs typeface="+mn-cs"/>
              </a:defRPr>
            </a:pPr>
            <a:endParaRPr lang="en-US"/>
          </a:p>
        </c:txPr>
        <c:crossAx val="821375711"/>
        <c:crosses val="autoZero"/>
        <c:auto val="1"/>
        <c:lblAlgn val="ctr"/>
        <c:lblOffset val="100"/>
        <c:noMultiLvlLbl val="0"/>
      </c:catAx>
      <c:valAx>
        <c:axId val="821375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atin typeface="+mn-lt"/>
                <a:ea typeface="+mn-ea"/>
                <a:cs typeface="+mn-cs"/>
              </a:defRPr>
            </a:pPr>
            <a:endParaRPr lang="en-US"/>
          </a:p>
        </c:txPr>
        <c:crossAx val="82136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[life expectancy.xlsx]pivot1!PivotTable5</c:name>
    <c:fmtId val="39"/>
  </c:pivotSource>
  <c:chart>
    <c:title>
      <c:tx>
        <c:rich>
          <a:bodyPr rot="0" spcFirstLastPara="1" vertOverflow="ellipsis" vert="horz" wrap="square" anchor="ctr" anchorCtr="1"/>
          <a:lstStyle/>
          <a:p>
            <a:pPr>
              <a:defRPr sz="1600" b="1"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lumMod val="20000"/>
                    <a:lumOff val="80000"/>
                  </a:schemeClr>
                </a:solidFill>
                <a:latin typeface="+mn-lt"/>
                <a:ea typeface="+mn-ea"/>
                <a:cs typeface="+mn-cs"/>
              </a:defRPr>
            </a:pPr>
            <a:r>
              <a:rPr lang="en-US" sz="180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lumMod val="20000"/>
                    <a:lumOff val="80000"/>
                  </a:schemeClr>
                </a:solidFill>
              </a:rPr>
              <a:t>AVG </a:t>
            </a:r>
            <a:r>
              <a:rPr lang="en-US" sz="18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lumMod val="20000"/>
                    <a:lumOff val="80000"/>
                  </a:schemeClr>
                </a:solidFill>
              </a:rPr>
              <a:t> of unemployment</a:t>
            </a:r>
            <a:endParaRPr lang="en-US" sz="180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lumMod val="20000"/>
                  <a:lumOff val="8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lumMod val="20000"/>
                  <a:lumOff val="8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hade val="53000"/>
            </a:schemeClr>
          </a:solidFill>
          <a:ln w="19050">
            <a:solidFill>
              <a:schemeClr val="lt1"/>
            </a:solidFill>
          </a:ln>
          <a:effectLst/>
        </c:spPr>
      </c:pivotFmt>
      <c:pivotFmt>
        <c:idx val="9"/>
        <c:spPr>
          <a:solidFill>
            <a:schemeClr val="accent1">
              <a:shade val="76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tint val="77000"/>
            </a:schemeClr>
          </a:solidFill>
          <a:ln w="19050">
            <a:solidFill>
              <a:schemeClr val="lt1"/>
            </a:solidFill>
          </a:ln>
          <a:effectLst/>
        </c:spPr>
      </c:pivotFmt>
      <c:pivotFmt>
        <c:idx val="12"/>
        <c:spPr>
          <a:solidFill>
            <a:schemeClr val="accent1">
              <a:tint val="54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hade val="53000"/>
            </a:schemeClr>
          </a:solidFill>
          <a:ln w="19050">
            <a:solidFill>
              <a:schemeClr val="lt1"/>
            </a:solidFill>
          </a:ln>
          <a:effectLst/>
        </c:spPr>
      </c:pivotFmt>
      <c:pivotFmt>
        <c:idx val="15"/>
        <c:spPr>
          <a:solidFill>
            <a:schemeClr val="accent1">
              <a:shade val="76000"/>
            </a:schemeClr>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tint val="77000"/>
            </a:schemeClr>
          </a:solidFill>
          <a:ln w="19050">
            <a:solidFill>
              <a:schemeClr val="lt1"/>
            </a:solidFill>
          </a:ln>
          <a:effectLst/>
        </c:spPr>
      </c:pivotFmt>
      <c:pivotFmt>
        <c:idx val="18"/>
        <c:spPr>
          <a:solidFill>
            <a:schemeClr val="accent1">
              <a:tint val="54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hade val="53000"/>
            </a:schemeClr>
          </a:solidFill>
          <a:ln w="19050">
            <a:solidFill>
              <a:schemeClr val="lt1"/>
            </a:solidFill>
          </a:ln>
          <a:effectLst/>
        </c:spPr>
      </c:pivotFmt>
      <c:pivotFmt>
        <c:idx val="21"/>
        <c:spPr>
          <a:solidFill>
            <a:schemeClr val="accent1">
              <a:shade val="76000"/>
            </a:schemeClr>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tint val="77000"/>
            </a:schemeClr>
          </a:solidFill>
          <a:ln w="19050">
            <a:solidFill>
              <a:schemeClr val="lt1"/>
            </a:solidFill>
          </a:ln>
          <a:effectLst/>
        </c:spPr>
      </c:pivotFmt>
      <c:pivotFmt>
        <c:idx val="24"/>
        <c:spPr>
          <a:solidFill>
            <a:schemeClr val="accent1">
              <a:tint val="54000"/>
            </a:schemeClr>
          </a:solidFill>
          <a:ln w="19050">
            <a:solidFill>
              <a:schemeClr val="lt1"/>
            </a:solidFill>
          </a:ln>
          <a:effectLst/>
        </c:spPr>
      </c:pivotFmt>
      <c:pivotFmt>
        <c:idx val="25"/>
        <c:spPr>
          <a:solidFill>
            <a:schemeClr val="accent1"/>
          </a:solidFill>
          <a:ln w="19050">
            <a:solidFill>
              <a:schemeClr val="lt1"/>
            </a:solidFill>
          </a:ln>
          <a:effectLst/>
        </c:spPr>
      </c:pivotFmt>
    </c:pivotFmts>
    <c:plotArea>
      <c:layout>
        <c:manualLayout>
          <c:layoutTarget val="inner"/>
          <c:xMode val="edge"/>
          <c:yMode val="edge"/>
          <c:x val="6.0794705987823223E-2"/>
          <c:y val="0.22470807899041539"/>
          <c:w val="0.43813875441427536"/>
          <c:h val="0.7510746192738651"/>
        </c:manualLayout>
      </c:layout>
      <c:pieChart>
        <c:varyColors val="1"/>
        <c:ser>
          <c:idx val="0"/>
          <c:order val="0"/>
          <c:tx>
            <c:strRef>
              <c:f>pivot1!$I$13</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70B2-4E98-B578-387F20771479}"/>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70B2-4E98-B578-387F20771479}"/>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70B2-4E98-B578-387F20771479}"/>
              </c:ext>
            </c:extLst>
          </c:dPt>
          <c:dPt>
            <c:idx val="3"/>
            <c:bubble3D val="0"/>
            <c:spPr>
              <a:solidFill>
                <a:schemeClr val="accent1"/>
              </a:solidFill>
              <a:ln w="19050">
                <a:solidFill>
                  <a:schemeClr val="lt1"/>
                </a:solidFill>
              </a:ln>
              <a:effectLst/>
            </c:spPr>
            <c:extLst>
              <c:ext xmlns:c16="http://schemas.microsoft.com/office/drawing/2014/chart" uri="{C3380CC4-5D6E-409C-BE32-E72D297353CC}">
                <c16:uniqueId val="{00000007-70B2-4E98-B578-387F20771479}"/>
              </c:ext>
            </c:extLst>
          </c:dPt>
          <c:dPt>
            <c:idx val="4"/>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9-70B2-4E98-B578-387F20771479}"/>
              </c:ext>
            </c:extLst>
          </c:dPt>
          <c:dLbls>
            <c:spPr>
              <a:noFill/>
              <a:ln>
                <a:noFill/>
              </a:ln>
              <a:effectLst/>
            </c:spPr>
            <c:txPr>
              <a:bodyPr rot="0" spcFirstLastPara="1" vertOverflow="ellipsis" vert="horz" wrap="square" anchor="ctr" anchorCtr="1"/>
              <a:lstStyle/>
              <a:p>
                <a:pPr>
                  <a:defRPr sz="1400" b="1" i="0" u="none" strike="noStrike" kern="120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pivot1!$H$14:$H$19</c:f>
              <c:strCache>
                <c:ptCount val="5"/>
                <c:pt idx="0">
                  <c:v>Central African Republic</c:v>
                </c:pt>
                <c:pt idx="1">
                  <c:v>Chad</c:v>
                </c:pt>
                <c:pt idx="2">
                  <c:v>Djibouti</c:v>
                </c:pt>
                <c:pt idx="3">
                  <c:v>Madagascar</c:v>
                </c:pt>
                <c:pt idx="4">
                  <c:v>Sierra Leone</c:v>
                </c:pt>
              </c:strCache>
            </c:strRef>
          </c:cat>
          <c:val>
            <c:numRef>
              <c:f>pivot1!$I$14:$I$19</c:f>
              <c:numCache>
                <c:formatCode>General</c:formatCode>
                <c:ptCount val="5"/>
                <c:pt idx="0">
                  <c:v>39.6</c:v>
                </c:pt>
                <c:pt idx="1">
                  <c:v>37.799999999999997</c:v>
                </c:pt>
                <c:pt idx="2">
                  <c:v>31.3</c:v>
                </c:pt>
                <c:pt idx="3">
                  <c:v>33.4</c:v>
                </c:pt>
                <c:pt idx="4">
                  <c:v>46.7</c:v>
                </c:pt>
              </c:numCache>
            </c:numRef>
          </c:val>
          <c:extLst>
            <c:ext xmlns:c16="http://schemas.microsoft.com/office/drawing/2014/chart" uri="{C3380CC4-5D6E-409C-BE32-E72D297353CC}">
              <c16:uniqueId val="{0000000A-70B2-4E98-B578-387F20771479}"/>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64810332327697096"/>
          <c:y val="0.31601383469512978"/>
          <c:w val="0.33333333333333331"/>
          <c:h val="0.65872898212580222"/>
        </c:manualLayout>
      </c:layout>
      <c:overlay val="0"/>
      <c:spPr>
        <a:noFill/>
        <a:ln>
          <a:noFill/>
        </a:ln>
        <a:effectLst/>
      </c:spPr>
      <c:txPr>
        <a:bodyPr rot="0" spcFirstLastPara="1" vertOverflow="ellipsis" vert="horz" wrap="square" anchor="ctr" anchorCtr="1"/>
        <a:lstStyle/>
        <a:p>
          <a:pPr>
            <a:defRPr sz="1000" b="1"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accent2">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[life expectancy.xlsx]pivot1!PivotTable4</c:name>
    <c:fmtId val="3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lumMod val="65000"/>
                    <a:lumOff val="35000"/>
                  </a:sysClr>
                </a:solidFill>
                <a:latin typeface="+mn-lt"/>
                <a:ea typeface="+mn-ea"/>
                <a:cs typeface="+mn-cs"/>
              </a:defRPr>
            </a:pPr>
            <a:r>
              <a:rPr lang="en-US" sz="1800" b="1"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lumMod val="20000"/>
                    <a:lumOff val="80000"/>
                  </a:schemeClr>
                </a:solidFill>
              </a:rPr>
              <a:t>AVG Prevelance of Undernourishment</a:t>
            </a:r>
          </a:p>
          <a:p>
            <a:pPr marL="0" marR="0" lvl="0" indent="0" algn="ctr" defTabSz="914400" rtl="0" eaLnBrk="1" fontAlgn="auto" latinLnBrk="0" hangingPunct="1">
              <a:lnSpc>
                <a:spcPct val="100000"/>
              </a:lnSpc>
              <a:spcBef>
                <a:spcPts val="0"/>
              </a:spcBef>
              <a:spcAft>
                <a:spcPts val="0"/>
              </a:spcAft>
              <a:buClrTx/>
              <a:buSzTx/>
              <a:buFontTx/>
              <a:buNone/>
              <a:tabLst/>
              <a:defRPr sz="1600">
                <a:solidFill>
                  <a:sysClr val="windowText" lastClr="000000">
                    <a:lumMod val="65000"/>
                    <a:lumOff val="35000"/>
                  </a:sysClr>
                </a:solidFill>
              </a:defRPr>
            </a:pPr>
            <a:endParaRPr lang="en-US" sz="1600"/>
          </a:p>
        </c:rich>
      </c:tx>
      <c:layout>
        <c:manualLayout>
          <c:xMode val="edge"/>
          <c:yMode val="edge"/>
          <c:x val="0.30293264257335017"/>
          <c:y val="2.0080321285140562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hade val="53000"/>
            </a:schemeClr>
          </a:solidFill>
          <a:ln w="19050">
            <a:solidFill>
              <a:schemeClr val="lt1"/>
            </a:solidFill>
          </a:ln>
          <a:effectLst/>
        </c:spPr>
      </c:pivotFmt>
      <c:pivotFmt>
        <c:idx val="10"/>
        <c:spPr>
          <a:solidFill>
            <a:schemeClr val="accent1">
              <a:shade val="76000"/>
            </a:schemeClr>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tint val="77000"/>
            </a:schemeClr>
          </a:solidFill>
          <a:ln w="19050">
            <a:solidFill>
              <a:schemeClr val="lt1"/>
            </a:solidFill>
          </a:ln>
          <a:effectLst/>
        </c:spPr>
      </c:pivotFmt>
      <c:pivotFmt>
        <c:idx val="13"/>
        <c:spPr>
          <a:solidFill>
            <a:schemeClr val="accent1">
              <a:tint val="54000"/>
            </a:schemeClr>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hade val="53000"/>
            </a:schemeClr>
          </a:solidFill>
          <a:ln w="19050">
            <a:solidFill>
              <a:schemeClr val="lt1"/>
            </a:solidFill>
          </a:ln>
          <a:effectLst/>
        </c:spPr>
      </c:pivotFmt>
      <c:pivotFmt>
        <c:idx val="16"/>
        <c:spPr>
          <a:solidFill>
            <a:schemeClr val="accent1">
              <a:shade val="76000"/>
            </a:schemeClr>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tint val="77000"/>
            </a:schemeClr>
          </a:solidFill>
          <a:ln w="19050">
            <a:solidFill>
              <a:schemeClr val="lt1"/>
            </a:solidFill>
          </a:ln>
          <a:effectLst/>
        </c:spPr>
      </c:pivotFmt>
      <c:pivotFmt>
        <c:idx val="19"/>
        <c:spPr>
          <a:solidFill>
            <a:schemeClr val="accent1">
              <a:tint val="54000"/>
            </a:schemeClr>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hade val="53000"/>
            </a:schemeClr>
          </a:solidFill>
          <a:ln w="19050">
            <a:solidFill>
              <a:schemeClr val="lt1"/>
            </a:solidFill>
          </a:ln>
          <a:effectLst/>
        </c:spPr>
      </c:pivotFmt>
      <c:pivotFmt>
        <c:idx val="22"/>
        <c:spPr>
          <a:solidFill>
            <a:schemeClr val="accent1">
              <a:shade val="76000"/>
            </a:schemeClr>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tint val="77000"/>
            </a:schemeClr>
          </a:solidFill>
          <a:ln w="19050">
            <a:solidFill>
              <a:schemeClr val="lt1"/>
            </a:solidFill>
          </a:ln>
          <a:effectLst/>
        </c:spPr>
      </c:pivotFmt>
      <c:pivotFmt>
        <c:idx val="25"/>
        <c:spPr>
          <a:solidFill>
            <a:schemeClr val="accent1">
              <a:tint val="54000"/>
            </a:schemeClr>
          </a:solidFill>
          <a:ln w="19050">
            <a:solidFill>
              <a:schemeClr val="lt1"/>
            </a:solidFill>
          </a:ln>
          <a:effectLst/>
        </c:spPr>
      </c:pivotFmt>
      <c:pivotFmt>
        <c:idx val="26"/>
        <c:spPr>
          <a:solidFill>
            <a:schemeClr val="accent1">
              <a:tint val="54000"/>
            </a:schemeClr>
          </a:solidFill>
          <a:ln w="19050">
            <a:solidFill>
              <a:schemeClr val="lt1"/>
            </a:solidFill>
          </a:ln>
          <a:effectLst/>
        </c:spPr>
      </c:pivotFmt>
    </c:pivotFmts>
    <c:plotArea>
      <c:layout>
        <c:manualLayout>
          <c:layoutTarget val="inner"/>
          <c:xMode val="edge"/>
          <c:yMode val="edge"/>
          <c:x val="0.11595222994958358"/>
          <c:y val="0.27524942288840398"/>
          <c:w val="0.45158602149859212"/>
          <c:h val="0.70964042152553153"/>
        </c:manualLayout>
      </c:layout>
      <c:pieChart>
        <c:varyColors val="1"/>
        <c:ser>
          <c:idx val="0"/>
          <c:order val="0"/>
          <c:tx>
            <c:strRef>
              <c:f>pivot1!$I$2</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1B8D-4F9D-92D6-91DE6E29BE62}"/>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1B8D-4F9D-92D6-91DE6E29BE62}"/>
              </c:ext>
            </c:extLst>
          </c:dPt>
          <c:dPt>
            <c:idx val="2"/>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5-1B8D-4F9D-92D6-91DE6E29BE62}"/>
              </c:ext>
            </c:extLst>
          </c:dPt>
          <c:dPt>
            <c:idx val="3"/>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7-1B8D-4F9D-92D6-91DE6E29BE62}"/>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1B8D-4F9D-92D6-91DE6E29BE62}"/>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pivot1!$H$3:$H$8</c:f>
              <c:strCache>
                <c:ptCount val="5"/>
                <c:pt idx="0">
                  <c:v>Albania</c:v>
                </c:pt>
                <c:pt idx="1">
                  <c:v>Djibouti</c:v>
                </c:pt>
                <c:pt idx="2">
                  <c:v>Georgia</c:v>
                </c:pt>
                <c:pt idx="3">
                  <c:v>Lesotho</c:v>
                </c:pt>
                <c:pt idx="4">
                  <c:v>Sao Tome and Principe</c:v>
                </c:pt>
              </c:strCache>
            </c:strRef>
          </c:cat>
          <c:val>
            <c:numRef>
              <c:f>pivot1!$I$3:$I$8</c:f>
              <c:numCache>
                <c:formatCode>General</c:formatCode>
                <c:ptCount val="5"/>
                <c:pt idx="0">
                  <c:v>15.9700002670288</c:v>
                </c:pt>
                <c:pt idx="1">
                  <c:v>27.719999313354499</c:v>
                </c:pt>
                <c:pt idx="2">
                  <c:v>13.810000419616699</c:v>
                </c:pt>
                <c:pt idx="3">
                  <c:v>31.309999465942401</c:v>
                </c:pt>
                <c:pt idx="4">
                  <c:v>16.469999313354499</c:v>
                </c:pt>
              </c:numCache>
            </c:numRef>
          </c:val>
          <c:extLst>
            <c:ext xmlns:c16="http://schemas.microsoft.com/office/drawing/2014/chart" uri="{C3380CC4-5D6E-409C-BE32-E72D297353CC}">
              <c16:uniqueId val="{0000000A-1B8D-4F9D-92D6-91DE6E29BE6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3557685634384629"/>
          <c:y val="0.36012751794579895"/>
          <c:w val="0.24519236957206986"/>
          <c:h val="0.61197348448913769"/>
        </c:manualLayout>
      </c:layout>
      <c:overlay val="0"/>
      <c:spPr>
        <a:noFill/>
        <a:ln>
          <a:noFill/>
        </a:ln>
        <a:effectLst/>
      </c:spPr>
      <c:txPr>
        <a:bodyPr rot="0" spcFirstLastPara="1" vertOverflow="ellipsis" vert="horz" wrap="square" anchor="ctr" anchorCtr="1"/>
        <a:lstStyle/>
        <a:p>
          <a:pPr>
            <a:defRPr sz="10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[life expectancy.xlsx]pivot1!PivotTable9</c:name>
    <c:fmtId val="63"/>
  </c:pivotSource>
  <c:chart>
    <c:title>
      <c:tx>
        <c:rich>
          <a:bodyPr rot="0" spcFirstLastPara="1" vertOverflow="ellipsis" vert="horz" wrap="square" anchor="ctr" anchorCtr="1"/>
          <a:lstStyle/>
          <a:p>
            <a:pPr>
              <a:defRPr sz="16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65000"/>
                    <a:lumOff val="35000"/>
                  </a:schemeClr>
                </a:solidFill>
                <a:latin typeface="+mn-lt"/>
                <a:ea typeface="+mn-ea"/>
                <a:cs typeface="+mn-cs"/>
              </a:defRPr>
            </a:pPr>
            <a:r>
              <a:rPr lang="en-US" sz="1600"/>
              <a:t>Top countries by corruption and POU</a:t>
            </a:r>
          </a:p>
        </c:rich>
      </c:tx>
      <c:overlay val="0"/>
      <c:spPr>
        <a:noFill/>
        <a:ln>
          <a:noFill/>
        </a:ln>
        <a:effectLst/>
      </c:spPr>
      <c:txPr>
        <a:bodyPr rot="0" spcFirstLastPara="1" vertOverflow="ellipsis" vert="horz" wrap="square" anchor="ctr" anchorCtr="1"/>
        <a:lstStyle/>
        <a:p>
          <a:pPr>
            <a:defRPr sz="16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587619624470016"/>
          <c:y val="0.21316091954022992"/>
          <c:w val="0.64163149606299208"/>
          <c:h val="0.65397547289347457"/>
        </c:manualLayout>
      </c:layout>
      <c:barChart>
        <c:barDir val="bar"/>
        <c:grouping val="clustered"/>
        <c:varyColors val="0"/>
        <c:ser>
          <c:idx val="0"/>
          <c:order val="0"/>
          <c:tx>
            <c:strRef>
              <c:f>pivot1!$L$45</c:f>
              <c:strCache>
                <c:ptCount val="1"/>
                <c:pt idx="0">
                  <c:v>Count of Corruption</c:v>
                </c:pt>
              </c:strCache>
            </c:strRef>
          </c:tx>
          <c:spPr>
            <a:solidFill>
              <a:schemeClr val="accent1">
                <a:tint val="77000"/>
              </a:schemeClr>
            </a:solidFill>
            <a:ln>
              <a:noFill/>
            </a:ln>
            <a:effectLst/>
          </c:spPr>
          <c:invertIfNegative val="0"/>
          <c:cat>
            <c:strRef>
              <c:f>pivot1!$K$46:$K$64</c:f>
              <c:strCache>
                <c:ptCount val="18"/>
                <c:pt idx="0">
                  <c:v>Albania</c:v>
                </c:pt>
                <c:pt idx="1">
                  <c:v>Armenia</c:v>
                </c:pt>
                <c:pt idx="2">
                  <c:v>Azerbaijan</c:v>
                </c:pt>
                <c:pt idx="3">
                  <c:v>Central African Republic</c:v>
                </c:pt>
                <c:pt idx="4">
                  <c:v>Chad</c:v>
                </c:pt>
                <c:pt idx="5">
                  <c:v>Djibouti</c:v>
                </c:pt>
                <c:pt idx="6">
                  <c:v>Georgia</c:v>
                </c:pt>
                <c:pt idx="7">
                  <c:v>Ghana</c:v>
                </c:pt>
                <c:pt idx="8">
                  <c:v>India</c:v>
                </c:pt>
                <c:pt idx="9">
                  <c:v>Lesotho</c:v>
                </c:pt>
                <c:pt idx="10">
                  <c:v>Madagascar</c:v>
                </c:pt>
                <c:pt idx="11">
                  <c:v>Mali</c:v>
                </c:pt>
                <c:pt idx="12">
                  <c:v>Nepal</c:v>
                </c:pt>
                <c:pt idx="13">
                  <c:v>Sao Tome and Principe</c:v>
                </c:pt>
                <c:pt idx="14">
                  <c:v>Senegal</c:v>
                </c:pt>
                <c:pt idx="15">
                  <c:v>Sierra Leone</c:v>
                </c:pt>
                <c:pt idx="16">
                  <c:v>Tanzania</c:v>
                </c:pt>
                <c:pt idx="17">
                  <c:v>Togo</c:v>
                </c:pt>
              </c:strCache>
            </c:strRef>
          </c:cat>
          <c:val>
            <c:numRef>
              <c:f>pivot1!$L$46:$L$64</c:f>
              <c:numCache>
                <c:formatCode>General</c:formatCode>
                <c:ptCount val="1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numCache>
            </c:numRef>
          </c:val>
          <c:extLst>
            <c:ext xmlns:c16="http://schemas.microsoft.com/office/drawing/2014/chart" uri="{C3380CC4-5D6E-409C-BE32-E72D297353CC}">
              <c16:uniqueId val="{00000000-7B9C-4239-AC36-EDE0263CE05D}"/>
            </c:ext>
          </c:extLst>
        </c:ser>
        <c:ser>
          <c:idx val="1"/>
          <c:order val="1"/>
          <c:tx>
            <c:strRef>
              <c:f>pivot1!$M$45</c:f>
              <c:strCache>
                <c:ptCount val="1"/>
                <c:pt idx="0">
                  <c:v>Average of Prevelance of Undernourishment</c:v>
                </c:pt>
              </c:strCache>
            </c:strRef>
          </c:tx>
          <c:spPr>
            <a:solidFill>
              <a:schemeClr val="accent1">
                <a:shade val="76000"/>
              </a:schemeClr>
            </a:solidFill>
            <a:ln>
              <a:noFill/>
            </a:ln>
            <a:effectLst/>
          </c:spPr>
          <c:invertIfNegative val="0"/>
          <c:cat>
            <c:strRef>
              <c:f>pivot1!$K$46:$K$64</c:f>
              <c:strCache>
                <c:ptCount val="18"/>
                <c:pt idx="0">
                  <c:v>Albania</c:v>
                </c:pt>
                <c:pt idx="1">
                  <c:v>Armenia</c:v>
                </c:pt>
                <c:pt idx="2">
                  <c:v>Azerbaijan</c:v>
                </c:pt>
                <c:pt idx="3">
                  <c:v>Central African Republic</c:v>
                </c:pt>
                <c:pt idx="4">
                  <c:v>Chad</c:v>
                </c:pt>
                <c:pt idx="5">
                  <c:v>Djibouti</c:v>
                </c:pt>
                <c:pt idx="6">
                  <c:v>Georgia</c:v>
                </c:pt>
                <c:pt idx="7">
                  <c:v>Ghana</c:v>
                </c:pt>
                <c:pt idx="8">
                  <c:v>India</c:v>
                </c:pt>
                <c:pt idx="9">
                  <c:v>Lesotho</c:v>
                </c:pt>
                <c:pt idx="10">
                  <c:v>Madagascar</c:v>
                </c:pt>
                <c:pt idx="11">
                  <c:v>Mali</c:v>
                </c:pt>
                <c:pt idx="12">
                  <c:v>Nepal</c:v>
                </c:pt>
                <c:pt idx="13">
                  <c:v>Sao Tome and Principe</c:v>
                </c:pt>
                <c:pt idx="14">
                  <c:v>Senegal</c:v>
                </c:pt>
                <c:pt idx="15">
                  <c:v>Sierra Leone</c:v>
                </c:pt>
                <c:pt idx="16">
                  <c:v>Tanzania</c:v>
                </c:pt>
                <c:pt idx="17">
                  <c:v>Togo</c:v>
                </c:pt>
              </c:strCache>
            </c:strRef>
          </c:cat>
          <c:val>
            <c:numRef>
              <c:f>pivot1!$M$46:$M$64</c:f>
              <c:numCache>
                <c:formatCode>General</c:formatCode>
                <c:ptCount val="18"/>
                <c:pt idx="0">
                  <c:v>8.9</c:v>
                </c:pt>
                <c:pt idx="1">
                  <c:v>12.3</c:v>
                </c:pt>
                <c:pt idx="2">
                  <c:v>4.8</c:v>
                </c:pt>
                <c:pt idx="3">
                  <c:v>39.6</c:v>
                </c:pt>
                <c:pt idx="4">
                  <c:v>37.799999999999997</c:v>
                </c:pt>
                <c:pt idx="5">
                  <c:v>31.3</c:v>
                </c:pt>
                <c:pt idx="6">
                  <c:v>4.0999999999999996</c:v>
                </c:pt>
                <c:pt idx="7">
                  <c:v>11.2</c:v>
                </c:pt>
                <c:pt idx="8">
                  <c:v>21.6</c:v>
                </c:pt>
                <c:pt idx="9">
                  <c:v>13.7</c:v>
                </c:pt>
                <c:pt idx="10">
                  <c:v>33.4</c:v>
                </c:pt>
                <c:pt idx="11">
                  <c:v>13.3</c:v>
                </c:pt>
                <c:pt idx="12">
                  <c:v>16.8</c:v>
                </c:pt>
                <c:pt idx="13">
                  <c:v>9</c:v>
                </c:pt>
                <c:pt idx="14">
                  <c:v>18.100000000000001</c:v>
                </c:pt>
                <c:pt idx="15">
                  <c:v>46.7</c:v>
                </c:pt>
                <c:pt idx="16">
                  <c:v>28.4</c:v>
                </c:pt>
                <c:pt idx="17">
                  <c:v>27.7</c:v>
                </c:pt>
              </c:numCache>
            </c:numRef>
          </c:val>
          <c:extLst>
            <c:ext xmlns:c16="http://schemas.microsoft.com/office/drawing/2014/chart" uri="{C3380CC4-5D6E-409C-BE32-E72D297353CC}">
              <c16:uniqueId val="{00000001-7B9C-4239-AC36-EDE0263CE05D}"/>
            </c:ext>
          </c:extLst>
        </c:ser>
        <c:dLbls>
          <c:showLegendKey val="0"/>
          <c:showVal val="0"/>
          <c:showCatName val="0"/>
          <c:showSerName val="0"/>
          <c:showPercent val="0"/>
          <c:showBubbleSize val="0"/>
        </c:dLbls>
        <c:gapWidth val="182"/>
        <c:axId val="1339469152"/>
        <c:axId val="1339470112"/>
      </c:barChart>
      <c:catAx>
        <c:axId val="1339469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65000"/>
                    <a:lumOff val="35000"/>
                  </a:schemeClr>
                </a:solidFill>
                <a:latin typeface="+mn-lt"/>
                <a:ea typeface="+mn-ea"/>
                <a:cs typeface="+mn-cs"/>
              </a:defRPr>
            </a:pPr>
            <a:endParaRPr lang="en-US"/>
          </a:p>
        </c:txPr>
        <c:crossAx val="1339470112"/>
        <c:crosses val="autoZero"/>
        <c:auto val="1"/>
        <c:lblAlgn val="ctr"/>
        <c:lblOffset val="100"/>
        <c:noMultiLvlLbl val="0"/>
      </c:catAx>
      <c:valAx>
        <c:axId val="1339470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65000"/>
                    <a:lumOff val="35000"/>
                  </a:schemeClr>
                </a:solidFill>
                <a:latin typeface="+mn-lt"/>
                <a:ea typeface="+mn-ea"/>
                <a:cs typeface="+mn-cs"/>
              </a:defRPr>
            </a:pPr>
            <a:endParaRPr lang="en-US"/>
          </a:p>
        </c:txPr>
        <c:crossAx val="1339469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withinLinear" id="14">
  <a:schemeClr val="accent1"/>
</cs:colorStyle>
</file>

<file path=xl/charts/colors17.xml><?xml version="1.0" encoding="utf-8"?>
<cs:colorStyle xmlns:cs="http://schemas.microsoft.com/office/drawing/2012/chartStyle" xmlns:a="http://schemas.openxmlformats.org/drawingml/2006/main" meth="withinLinear" id="14">
  <a:schemeClr val="accent1"/>
</cs:colorStyle>
</file>

<file path=xl/charts/colors18.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2.png"/><Relationship Id="rId2" Type="http://schemas.openxmlformats.org/officeDocument/2006/relationships/chart" Target="../charts/chart8.xml"/><Relationship Id="rId1" Type="http://schemas.openxmlformats.org/officeDocument/2006/relationships/image" Target="../media/image1.jpe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18.xml"/><Relationship Id="rId3" Type="http://schemas.openxmlformats.org/officeDocument/2006/relationships/chart" Target="../charts/chart14.xml"/><Relationship Id="rId7" Type="http://schemas.openxmlformats.org/officeDocument/2006/relationships/image" Target="../media/image2.png"/><Relationship Id="rId12" Type="http://schemas.openxmlformats.org/officeDocument/2006/relationships/image" Target="../media/image8.png"/><Relationship Id="rId2" Type="http://schemas.openxmlformats.org/officeDocument/2006/relationships/chart" Target="../charts/chart13.xml"/><Relationship Id="rId1" Type="http://schemas.openxmlformats.org/officeDocument/2006/relationships/image" Target="../media/image3.jpg"/><Relationship Id="rId6" Type="http://schemas.openxmlformats.org/officeDocument/2006/relationships/chart" Target="../charts/chart17.xml"/><Relationship Id="rId11" Type="http://schemas.openxmlformats.org/officeDocument/2006/relationships/image" Target="../media/image7.png"/><Relationship Id="rId5" Type="http://schemas.openxmlformats.org/officeDocument/2006/relationships/chart" Target="../charts/chart16.xml"/><Relationship Id="rId10" Type="http://schemas.openxmlformats.org/officeDocument/2006/relationships/image" Target="../media/image6.png"/><Relationship Id="rId4" Type="http://schemas.openxmlformats.org/officeDocument/2006/relationships/chart" Target="../charts/chart15.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41744</xdr:colOff>
      <xdr:row>39</xdr:row>
      <xdr:rowOff>314739</xdr:rowOff>
    </xdr:from>
    <xdr:to>
      <xdr:col>2</xdr:col>
      <xdr:colOff>722243</xdr:colOff>
      <xdr:row>45</xdr:row>
      <xdr:rowOff>167971</xdr:rowOff>
    </xdr:to>
    <xdr:graphicFrame macro="">
      <xdr:nvGraphicFramePr>
        <xdr:cNvPr id="3" name="Chart 2">
          <a:extLst>
            <a:ext uri="{FF2B5EF4-FFF2-40B4-BE49-F238E27FC236}">
              <a16:creationId xmlns:a16="http://schemas.microsoft.com/office/drawing/2014/main" id="{E706314B-8A45-A6DF-2336-0190C70CB4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356483</xdr:colOff>
      <xdr:row>14</xdr:row>
      <xdr:rowOff>51684</xdr:rowOff>
    </xdr:from>
    <xdr:to>
      <xdr:col>4</xdr:col>
      <xdr:colOff>326003</xdr:colOff>
      <xdr:row>26</xdr:row>
      <xdr:rowOff>28824</xdr:rowOff>
    </xdr:to>
    <xdr:graphicFrame macro="">
      <xdr:nvGraphicFramePr>
        <xdr:cNvPr id="4" name="Chart 3">
          <a:extLst>
            <a:ext uri="{FF2B5EF4-FFF2-40B4-BE49-F238E27FC236}">
              <a16:creationId xmlns:a16="http://schemas.microsoft.com/office/drawing/2014/main" id="{101903F4-8B8D-1531-F73D-C5B22B9D1C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1025718</xdr:colOff>
      <xdr:row>39</xdr:row>
      <xdr:rowOff>317078</xdr:rowOff>
    </xdr:from>
    <xdr:to>
      <xdr:col>6</xdr:col>
      <xdr:colOff>1950</xdr:colOff>
      <xdr:row>55</xdr:row>
      <xdr:rowOff>66280</xdr:rowOff>
    </xdr:to>
    <xdr:graphicFrame macro="">
      <xdr:nvGraphicFramePr>
        <xdr:cNvPr id="5" name="Chart 4">
          <a:extLst>
            <a:ext uri="{FF2B5EF4-FFF2-40B4-BE49-F238E27FC236}">
              <a16:creationId xmlns:a16="http://schemas.microsoft.com/office/drawing/2014/main" id="{DECC92F1-0BC5-B9F9-80A6-1DAD31DC4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304468</xdr:colOff>
      <xdr:row>1</xdr:row>
      <xdr:rowOff>16565</xdr:rowOff>
    </xdr:from>
    <xdr:to>
      <xdr:col>11</xdr:col>
      <xdr:colOff>883589</xdr:colOff>
      <xdr:row>9</xdr:row>
      <xdr:rowOff>77524</xdr:rowOff>
    </xdr:to>
    <xdr:graphicFrame macro="">
      <xdr:nvGraphicFramePr>
        <xdr:cNvPr id="6" name="Chart 5">
          <a:extLst>
            <a:ext uri="{FF2B5EF4-FFF2-40B4-BE49-F238E27FC236}">
              <a16:creationId xmlns:a16="http://schemas.microsoft.com/office/drawing/2014/main" id="{DF0875AA-0049-CA14-7A0F-5FC202311B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322358</xdr:colOff>
      <xdr:row>9</xdr:row>
      <xdr:rowOff>181887</xdr:rowOff>
    </xdr:from>
    <xdr:to>
      <xdr:col>11</xdr:col>
      <xdr:colOff>657638</xdr:colOff>
      <xdr:row>21</xdr:row>
      <xdr:rowOff>7290</xdr:rowOff>
    </xdr:to>
    <xdr:graphicFrame macro="">
      <xdr:nvGraphicFramePr>
        <xdr:cNvPr id="7" name="Chart 6">
          <a:extLst>
            <a:ext uri="{FF2B5EF4-FFF2-40B4-BE49-F238E27FC236}">
              <a16:creationId xmlns:a16="http://schemas.microsoft.com/office/drawing/2014/main" id="{9BF44B3E-E5E1-D8D2-EAE7-0A6F503CB4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579958</xdr:colOff>
      <xdr:row>21</xdr:row>
      <xdr:rowOff>87308</xdr:rowOff>
    </xdr:from>
    <xdr:to>
      <xdr:col>12</xdr:col>
      <xdr:colOff>1120346</xdr:colOff>
      <xdr:row>35</xdr:row>
      <xdr:rowOff>158466</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54D4F8DA-2143-1971-EF64-7787930BEB5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462844" y="3935890"/>
              <a:ext cx="1852186" cy="2636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324347</xdr:colOff>
      <xdr:row>55</xdr:row>
      <xdr:rowOff>22859</xdr:rowOff>
    </xdr:from>
    <xdr:to>
      <xdr:col>9</xdr:col>
      <xdr:colOff>838481</xdr:colOff>
      <xdr:row>62</xdr:row>
      <xdr:rowOff>118939</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28636883-2C0B-1B91-030F-3AC725CED25F}"/>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1600018" y="11549315"/>
              <a:ext cx="3320995" cy="137894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8</xdr:col>
      <xdr:colOff>3078107</xdr:colOff>
      <xdr:row>33</xdr:row>
      <xdr:rowOff>140854</xdr:rowOff>
    </xdr:from>
    <xdr:to>
      <xdr:col>10</xdr:col>
      <xdr:colOff>824843</xdr:colOff>
      <xdr:row>43</xdr:row>
      <xdr:rowOff>136528</xdr:rowOff>
    </xdr:to>
    <xdr:graphicFrame macro="">
      <xdr:nvGraphicFramePr>
        <xdr:cNvPr id="12" name="Chart 11">
          <a:extLst>
            <a:ext uri="{FF2B5EF4-FFF2-40B4-BE49-F238E27FC236}">
              <a16:creationId xmlns:a16="http://schemas.microsoft.com/office/drawing/2014/main" id="{971D033C-1017-83FB-F5C7-2F704264A2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578734</xdr:colOff>
      <xdr:row>40</xdr:row>
      <xdr:rowOff>142755</xdr:rowOff>
    </xdr:from>
    <xdr:to>
      <xdr:col>12</xdr:col>
      <xdr:colOff>2314937</xdr:colOff>
      <xdr:row>49</xdr:row>
      <xdr:rowOff>30866</xdr:rowOff>
    </xdr:to>
    <xdr:graphicFrame macro="">
      <xdr:nvGraphicFramePr>
        <xdr:cNvPr id="13" name="Chart 12">
          <a:extLst>
            <a:ext uri="{FF2B5EF4-FFF2-40B4-BE49-F238E27FC236}">
              <a16:creationId xmlns:a16="http://schemas.microsoft.com/office/drawing/2014/main" id="{03422C7D-94FB-9671-41E8-A56F8BB232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599440</xdr:colOff>
      <xdr:row>3</xdr:row>
      <xdr:rowOff>32426</xdr:rowOff>
    </xdr:from>
    <xdr:to>
      <xdr:col>21</xdr:col>
      <xdr:colOff>355600</xdr:colOff>
      <xdr:row>37</xdr:row>
      <xdr:rowOff>91440</xdr:rowOff>
    </xdr:to>
    <xdr:pic>
      <xdr:nvPicPr>
        <xdr:cNvPr id="3" name="Picture 2">
          <a:extLst>
            <a:ext uri="{FF2B5EF4-FFF2-40B4-BE49-F238E27FC236}">
              <a16:creationId xmlns:a16="http://schemas.microsoft.com/office/drawing/2014/main" id="{32D486BB-079D-9C48-CD7A-FC903E8DA1A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599440" y="581066"/>
          <a:ext cx="12557760" cy="6276934"/>
        </a:xfrm>
        <a:prstGeom prst="rect">
          <a:avLst/>
        </a:prstGeom>
      </xdr:spPr>
    </xdr:pic>
    <xdr:clientData/>
  </xdr:twoCellAnchor>
  <xdr:twoCellAnchor>
    <xdr:from>
      <xdr:col>0</xdr:col>
      <xdr:colOff>589280</xdr:colOff>
      <xdr:row>3</xdr:row>
      <xdr:rowOff>30481</xdr:rowOff>
    </xdr:from>
    <xdr:to>
      <xdr:col>21</xdr:col>
      <xdr:colOff>304800</xdr:colOff>
      <xdr:row>37</xdr:row>
      <xdr:rowOff>81281</xdr:rowOff>
    </xdr:to>
    <xdr:sp macro="" textlink="">
      <xdr:nvSpPr>
        <xdr:cNvPr id="5" name="Rectangle 4">
          <a:extLst>
            <a:ext uri="{FF2B5EF4-FFF2-40B4-BE49-F238E27FC236}">
              <a16:creationId xmlns:a16="http://schemas.microsoft.com/office/drawing/2014/main" id="{29846339-D0D8-35CF-C6D7-28E03AA68A8D}"/>
            </a:ext>
          </a:extLst>
        </xdr:cNvPr>
        <xdr:cNvSpPr/>
      </xdr:nvSpPr>
      <xdr:spPr>
        <a:xfrm>
          <a:off x="589280" y="584663"/>
          <a:ext cx="12565611" cy="6331527"/>
        </a:xfrm>
        <a:prstGeom prst="rect">
          <a:avLst/>
        </a:prstGeom>
        <a:solidFill>
          <a:schemeClr val="dk1">
            <a:alpha val="50000"/>
          </a:schemeClr>
        </a:solidFill>
        <a:ln>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308042</xdr:colOff>
      <xdr:row>3</xdr:row>
      <xdr:rowOff>163894</xdr:rowOff>
    </xdr:from>
    <xdr:to>
      <xdr:col>11</xdr:col>
      <xdr:colOff>16213</xdr:colOff>
      <xdr:row>9</xdr:row>
      <xdr:rowOff>172720</xdr:rowOff>
    </xdr:to>
    <xdr:sp macro="" textlink="">
      <xdr:nvSpPr>
        <xdr:cNvPr id="10" name="Rectangle 9">
          <a:extLst>
            <a:ext uri="{FF2B5EF4-FFF2-40B4-BE49-F238E27FC236}">
              <a16:creationId xmlns:a16="http://schemas.microsoft.com/office/drawing/2014/main" id="{C23CCF51-16B2-4DD9-8045-4C2699077D12}"/>
            </a:ext>
          </a:extLst>
        </xdr:cNvPr>
        <xdr:cNvSpPr/>
      </xdr:nvSpPr>
      <xdr:spPr>
        <a:xfrm>
          <a:off x="4575242" y="712534"/>
          <a:ext cx="2146571" cy="1106106"/>
        </a:xfrm>
        <a:prstGeom prst="rect">
          <a:avLst/>
        </a:prstGeom>
        <a:solidFill>
          <a:schemeClr val="dk1">
            <a:alpha val="50000"/>
          </a:schemeClr>
        </a:solidFill>
        <a:ln>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2000" b="1">
              <a:solidFill>
                <a:schemeClr val="bg1">
                  <a:lumMod val="65000"/>
                </a:schemeClr>
              </a:solidFill>
            </a:rPr>
            <a:t> </a:t>
          </a:r>
          <a:r>
            <a:rPr lang="en-US" sz="2000" b="1">
              <a:solidFill>
                <a:schemeClr val="accent1">
                  <a:lumMod val="20000"/>
                  <a:lumOff val="80000"/>
                </a:schemeClr>
              </a:solidFill>
            </a:rPr>
            <a:t>Total</a:t>
          </a:r>
          <a:r>
            <a:rPr lang="en-US" sz="2000" b="1" baseline="0">
              <a:solidFill>
                <a:schemeClr val="accent1">
                  <a:lumMod val="20000"/>
                  <a:lumOff val="80000"/>
                </a:schemeClr>
              </a:solidFill>
            </a:rPr>
            <a:t> Countries</a:t>
          </a:r>
          <a:endParaRPr lang="en-US" sz="2000" b="1">
            <a:solidFill>
              <a:schemeClr val="accent1">
                <a:lumMod val="20000"/>
                <a:lumOff val="80000"/>
              </a:schemeClr>
            </a:solidFill>
          </a:endParaRPr>
        </a:p>
      </xdr:txBody>
    </xdr:sp>
    <xdr:clientData/>
  </xdr:twoCellAnchor>
  <xdr:twoCellAnchor>
    <xdr:from>
      <xdr:col>1</xdr:col>
      <xdr:colOff>57871</xdr:colOff>
      <xdr:row>10</xdr:row>
      <xdr:rowOff>96456</xdr:rowOff>
    </xdr:from>
    <xdr:to>
      <xdr:col>8</xdr:col>
      <xdr:colOff>67518</xdr:colOff>
      <xdr:row>21</xdr:row>
      <xdr:rowOff>162560</xdr:rowOff>
    </xdr:to>
    <xdr:sp macro="" textlink="">
      <xdr:nvSpPr>
        <xdr:cNvPr id="12" name="Rectangle 11">
          <a:extLst>
            <a:ext uri="{FF2B5EF4-FFF2-40B4-BE49-F238E27FC236}">
              <a16:creationId xmlns:a16="http://schemas.microsoft.com/office/drawing/2014/main" id="{CAD403E7-0125-40CF-8462-F875745B4245}"/>
            </a:ext>
          </a:extLst>
        </xdr:cNvPr>
        <xdr:cNvSpPr/>
      </xdr:nvSpPr>
      <xdr:spPr>
        <a:xfrm>
          <a:off x="667471" y="1925256"/>
          <a:ext cx="4276847" cy="2077784"/>
        </a:xfrm>
        <a:prstGeom prst="rect">
          <a:avLst/>
        </a:prstGeom>
        <a:solidFill>
          <a:schemeClr val="dk1">
            <a:alpha val="50000"/>
          </a:schemeClr>
        </a:solidFill>
        <a:ln>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8101</xdr:colOff>
      <xdr:row>22</xdr:row>
      <xdr:rowOff>118834</xdr:rowOff>
    </xdr:from>
    <xdr:to>
      <xdr:col>8</xdr:col>
      <xdr:colOff>37038</xdr:colOff>
      <xdr:row>37</xdr:row>
      <xdr:rowOff>13118</xdr:rowOff>
    </xdr:to>
    <xdr:sp macro="" textlink="">
      <xdr:nvSpPr>
        <xdr:cNvPr id="14" name="Rectangle 13">
          <a:extLst>
            <a:ext uri="{FF2B5EF4-FFF2-40B4-BE49-F238E27FC236}">
              <a16:creationId xmlns:a16="http://schemas.microsoft.com/office/drawing/2014/main" id="{081B9830-3366-4BA9-A695-7194ADB2E371}"/>
            </a:ext>
          </a:extLst>
        </xdr:cNvPr>
        <xdr:cNvSpPr/>
      </xdr:nvSpPr>
      <xdr:spPr>
        <a:xfrm>
          <a:off x="617701" y="4142194"/>
          <a:ext cx="4296137" cy="2637484"/>
        </a:xfrm>
        <a:prstGeom prst="rect">
          <a:avLst/>
        </a:prstGeom>
        <a:solidFill>
          <a:schemeClr val="dk1">
            <a:alpha val="50000"/>
          </a:schemeClr>
        </a:solidFill>
        <a:ln>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183266</xdr:colOff>
      <xdr:row>10</xdr:row>
      <xdr:rowOff>106104</xdr:rowOff>
    </xdr:from>
    <xdr:to>
      <xdr:col>15</xdr:col>
      <xdr:colOff>115747</xdr:colOff>
      <xdr:row>21</xdr:row>
      <xdr:rowOff>96458</xdr:rowOff>
    </xdr:to>
    <xdr:sp macro="" textlink="">
      <xdr:nvSpPr>
        <xdr:cNvPr id="15" name="Rectangle 14">
          <a:extLst>
            <a:ext uri="{FF2B5EF4-FFF2-40B4-BE49-F238E27FC236}">
              <a16:creationId xmlns:a16="http://schemas.microsoft.com/office/drawing/2014/main" id="{A1D3889F-B9E6-46A5-BB74-79A020A3DC9C}"/>
            </a:ext>
          </a:extLst>
        </xdr:cNvPr>
        <xdr:cNvSpPr/>
      </xdr:nvSpPr>
      <xdr:spPr>
        <a:xfrm>
          <a:off x="5060066" y="1934904"/>
          <a:ext cx="4199681" cy="2002034"/>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115231</xdr:colOff>
      <xdr:row>22</xdr:row>
      <xdr:rowOff>118834</xdr:rowOff>
    </xdr:from>
    <xdr:to>
      <xdr:col>15</xdr:col>
      <xdr:colOff>40640</xdr:colOff>
      <xdr:row>37</xdr:row>
      <xdr:rowOff>3472</xdr:rowOff>
    </xdr:to>
    <xdr:sp macro="" textlink="">
      <xdr:nvSpPr>
        <xdr:cNvPr id="16" name="Rectangle 15">
          <a:extLst>
            <a:ext uri="{FF2B5EF4-FFF2-40B4-BE49-F238E27FC236}">
              <a16:creationId xmlns:a16="http://schemas.microsoft.com/office/drawing/2014/main" id="{9F500581-65FD-4B8C-B738-A9C4309BE859}"/>
            </a:ext>
          </a:extLst>
        </xdr:cNvPr>
        <xdr:cNvSpPr/>
      </xdr:nvSpPr>
      <xdr:spPr>
        <a:xfrm>
          <a:off x="4992031" y="4142194"/>
          <a:ext cx="4192609" cy="2627838"/>
        </a:xfrm>
        <a:prstGeom prst="rect">
          <a:avLst/>
        </a:prstGeom>
        <a:solidFill>
          <a:schemeClr val="dk1">
            <a:alpha val="50000"/>
          </a:schemeClr>
        </a:solidFill>
        <a:ln>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127964</xdr:colOff>
      <xdr:row>22</xdr:row>
      <xdr:rowOff>121920</xdr:rowOff>
    </xdr:from>
    <xdr:to>
      <xdr:col>21</xdr:col>
      <xdr:colOff>311229</xdr:colOff>
      <xdr:row>37</xdr:row>
      <xdr:rowOff>23791</xdr:rowOff>
    </xdr:to>
    <xdr:sp macro="" textlink="">
      <xdr:nvSpPr>
        <xdr:cNvPr id="17" name="Rectangle 16">
          <a:extLst>
            <a:ext uri="{FF2B5EF4-FFF2-40B4-BE49-F238E27FC236}">
              <a16:creationId xmlns:a16="http://schemas.microsoft.com/office/drawing/2014/main" id="{08383AEB-CA15-41F6-BA27-298FC93C5ACC}"/>
            </a:ext>
          </a:extLst>
        </xdr:cNvPr>
        <xdr:cNvSpPr/>
      </xdr:nvSpPr>
      <xdr:spPr>
        <a:xfrm>
          <a:off x="9271964" y="4145280"/>
          <a:ext cx="3840865" cy="2645071"/>
        </a:xfrm>
        <a:prstGeom prst="rect">
          <a:avLst/>
        </a:prstGeom>
        <a:solidFill>
          <a:schemeClr val="dk1">
            <a:alpha val="50000"/>
          </a:schemeClr>
        </a:solidFill>
        <a:ln>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67519</xdr:colOff>
      <xdr:row>10</xdr:row>
      <xdr:rowOff>77164</xdr:rowOff>
    </xdr:from>
    <xdr:to>
      <xdr:col>8</xdr:col>
      <xdr:colOff>9646</xdr:colOff>
      <xdr:row>21</xdr:row>
      <xdr:rowOff>101599</xdr:rowOff>
    </xdr:to>
    <xdr:graphicFrame macro="">
      <xdr:nvGraphicFramePr>
        <xdr:cNvPr id="18" name="Chart 17">
          <a:extLst>
            <a:ext uri="{FF2B5EF4-FFF2-40B4-BE49-F238E27FC236}">
              <a16:creationId xmlns:a16="http://schemas.microsoft.com/office/drawing/2014/main" id="{112DB1B9-E944-43A5-BDDD-AFD84319C6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153816</xdr:colOff>
      <xdr:row>10</xdr:row>
      <xdr:rowOff>91440</xdr:rowOff>
    </xdr:from>
    <xdr:to>
      <xdr:col>15</xdr:col>
      <xdr:colOff>0</xdr:colOff>
      <xdr:row>21</xdr:row>
      <xdr:rowOff>172720</xdr:rowOff>
    </xdr:to>
    <xdr:graphicFrame macro="">
      <xdr:nvGraphicFramePr>
        <xdr:cNvPr id="19" name="Chart 18">
          <a:extLst>
            <a:ext uri="{FF2B5EF4-FFF2-40B4-BE49-F238E27FC236}">
              <a16:creationId xmlns:a16="http://schemas.microsoft.com/office/drawing/2014/main" id="{EE9FA533-76BD-400F-AC40-8D7D9C167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497840</xdr:colOff>
      <xdr:row>22</xdr:row>
      <xdr:rowOff>152400</xdr:rowOff>
    </xdr:from>
    <xdr:to>
      <xdr:col>7</xdr:col>
      <xdr:colOff>599440</xdr:colOff>
      <xdr:row>37</xdr:row>
      <xdr:rowOff>14661</xdr:rowOff>
    </xdr:to>
    <xdr:graphicFrame macro="">
      <xdr:nvGraphicFramePr>
        <xdr:cNvPr id="20" name="Chart 19">
          <a:extLst>
            <a:ext uri="{FF2B5EF4-FFF2-40B4-BE49-F238E27FC236}">
              <a16:creationId xmlns:a16="http://schemas.microsoft.com/office/drawing/2014/main" id="{18425563-D1BA-4E67-BBC7-15681A9DD7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81281</xdr:colOff>
      <xdr:row>22</xdr:row>
      <xdr:rowOff>162561</xdr:rowOff>
    </xdr:from>
    <xdr:to>
      <xdr:col>21</xdr:col>
      <xdr:colOff>386080</xdr:colOff>
      <xdr:row>36</xdr:row>
      <xdr:rowOff>132081</xdr:rowOff>
    </xdr:to>
    <xdr:graphicFrame macro="">
      <xdr:nvGraphicFramePr>
        <xdr:cNvPr id="21" name="Chart 20">
          <a:extLst>
            <a:ext uri="{FF2B5EF4-FFF2-40B4-BE49-F238E27FC236}">
              <a16:creationId xmlns:a16="http://schemas.microsoft.com/office/drawing/2014/main" id="{2182BB4B-33D1-49A7-8E91-4850E5701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142016</xdr:colOff>
      <xdr:row>22</xdr:row>
      <xdr:rowOff>152401</xdr:rowOff>
    </xdr:from>
    <xdr:to>
      <xdr:col>14</xdr:col>
      <xdr:colOff>589280</xdr:colOff>
      <xdr:row>36</xdr:row>
      <xdr:rowOff>105183</xdr:rowOff>
    </xdr:to>
    <xdr:graphicFrame macro="">
      <xdr:nvGraphicFramePr>
        <xdr:cNvPr id="22" name="Chart 21">
          <a:extLst>
            <a:ext uri="{FF2B5EF4-FFF2-40B4-BE49-F238E27FC236}">
              <a16:creationId xmlns:a16="http://schemas.microsoft.com/office/drawing/2014/main" id="{198E4EDD-0588-48E2-84B9-A446BA926F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50800</xdr:colOff>
      <xdr:row>3</xdr:row>
      <xdr:rowOff>148073</xdr:rowOff>
    </xdr:from>
    <xdr:to>
      <xdr:col>7</xdr:col>
      <xdr:colOff>193040</xdr:colOff>
      <xdr:row>10</xdr:row>
      <xdr:rowOff>10160</xdr:rowOff>
    </xdr:to>
    <xdr:sp macro="" textlink="">
      <xdr:nvSpPr>
        <xdr:cNvPr id="26" name="Rectangle 25">
          <a:extLst>
            <a:ext uri="{FF2B5EF4-FFF2-40B4-BE49-F238E27FC236}">
              <a16:creationId xmlns:a16="http://schemas.microsoft.com/office/drawing/2014/main" id="{AAAA80FE-9B9A-48C3-90FD-4F418D7C740E}"/>
            </a:ext>
          </a:extLst>
        </xdr:cNvPr>
        <xdr:cNvSpPr/>
      </xdr:nvSpPr>
      <xdr:spPr>
        <a:xfrm>
          <a:off x="660400" y="696713"/>
          <a:ext cx="3799840" cy="1142247"/>
        </a:xfrm>
        <a:prstGeom prst="rect">
          <a:avLst/>
        </a:prstGeom>
        <a:solidFill>
          <a:schemeClr val="dk1">
            <a:alpha val="50000"/>
          </a:schemeClr>
        </a:solidFill>
        <a:ln>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253352</xdr:colOff>
      <xdr:row>3</xdr:row>
      <xdr:rowOff>170338</xdr:rowOff>
    </xdr:from>
    <xdr:to>
      <xdr:col>14</xdr:col>
      <xdr:colOff>539436</xdr:colOff>
      <xdr:row>10</xdr:row>
      <xdr:rowOff>10160</xdr:rowOff>
    </xdr:to>
    <xdr:sp macro="" textlink="">
      <xdr:nvSpPr>
        <xdr:cNvPr id="27" name="Rectangle 26">
          <a:extLst>
            <a:ext uri="{FF2B5EF4-FFF2-40B4-BE49-F238E27FC236}">
              <a16:creationId xmlns:a16="http://schemas.microsoft.com/office/drawing/2014/main" id="{8D0DE0C4-7773-49A8-B4FF-7A62169B7BD4}"/>
            </a:ext>
          </a:extLst>
        </xdr:cNvPr>
        <xdr:cNvSpPr/>
      </xdr:nvSpPr>
      <xdr:spPr>
        <a:xfrm>
          <a:off x="6958952" y="718978"/>
          <a:ext cx="2114884" cy="1119982"/>
        </a:xfrm>
        <a:prstGeom prst="rect">
          <a:avLst/>
        </a:prstGeom>
        <a:solidFill>
          <a:schemeClr val="dk1">
            <a:alpha val="50000"/>
          </a:schemeClr>
        </a:solidFill>
        <a:ln>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800" b="1">
              <a:solidFill>
                <a:schemeClr val="accent1">
                  <a:lumMod val="20000"/>
                  <a:lumOff val="80000"/>
                </a:schemeClr>
              </a:solidFill>
            </a:rPr>
            <a:t>Avg life expectancy</a:t>
          </a:r>
        </a:p>
      </xdr:txBody>
    </xdr:sp>
    <xdr:clientData/>
  </xdr:twoCellAnchor>
  <xdr:twoCellAnchor>
    <xdr:from>
      <xdr:col>1</xdr:col>
      <xdr:colOff>60960</xdr:colOff>
      <xdr:row>3</xdr:row>
      <xdr:rowOff>152400</xdr:rowOff>
    </xdr:from>
    <xdr:to>
      <xdr:col>7</xdr:col>
      <xdr:colOff>325120</xdr:colOff>
      <xdr:row>10</xdr:row>
      <xdr:rowOff>132080</xdr:rowOff>
    </xdr:to>
    <xdr:sp macro="" textlink="">
      <xdr:nvSpPr>
        <xdr:cNvPr id="28" name="TextBox 27">
          <a:extLst>
            <a:ext uri="{FF2B5EF4-FFF2-40B4-BE49-F238E27FC236}">
              <a16:creationId xmlns:a16="http://schemas.microsoft.com/office/drawing/2014/main" id="{B40116A5-0458-4854-A606-739FCA058829}"/>
            </a:ext>
          </a:extLst>
        </xdr:cNvPr>
        <xdr:cNvSpPr txBox="1"/>
      </xdr:nvSpPr>
      <xdr:spPr>
        <a:xfrm rot="10800000" flipH="1" flipV="1">
          <a:off x="670560" y="701040"/>
          <a:ext cx="3921760" cy="1259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ln>
                <a:solidFill>
                  <a:schemeClr val="lt1">
                    <a:shade val="50000"/>
                  </a:schemeClr>
                </a:solidFill>
              </a:ln>
              <a:gradFill flip="none" rotWithShape="1">
                <a:gsLst>
                  <a:gs pos="0">
                    <a:schemeClr val="bg1">
                      <a:lumMod val="85000"/>
                    </a:schemeClr>
                  </a:gs>
                  <a:gs pos="46000">
                    <a:schemeClr val="bg1">
                      <a:lumMod val="85000"/>
                    </a:schemeClr>
                  </a:gs>
                  <a:gs pos="100000">
                    <a:schemeClr val="tx2">
                      <a:lumMod val="25000"/>
                      <a:lumOff val="75000"/>
                    </a:schemeClr>
                  </a:gs>
                </a:gsLst>
                <a:path path="circle">
                  <a:fillToRect l="50000" t="130000" r="50000" b="-30000"/>
                </a:path>
                <a:tileRect/>
              </a:gradFill>
            </a:rPr>
            <a:t>LIFE EXPECTANCY DASHBOAD</a:t>
          </a:r>
        </a:p>
      </xdr:txBody>
    </xdr:sp>
    <xdr:clientData/>
  </xdr:twoCellAnchor>
  <xdr:twoCellAnchor>
    <xdr:from>
      <xdr:col>8</xdr:col>
      <xdr:colOff>575633</xdr:colOff>
      <xdr:row>6</xdr:row>
      <xdr:rowOff>106318</xdr:rowOff>
    </xdr:from>
    <xdr:to>
      <xdr:col>10</xdr:col>
      <xdr:colOff>462143</xdr:colOff>
      <xdr:row>9</xdr:row>
      <xdr:rowOff>90105</xdr:rowOff>
    </xdr:to>
    <xdr:sp macro="" textlink="pivot1!M40">
      <xdr:nvSpPr>
        <xdr:cNvPr id="30" name="TextBox 29">
          <a:extLst>
            <a:ext uri="{FF2B5EF4-FFF2-40B4-BE49-F238E27FC236}">
              <a16:creationId xmlns:a16="http://schemas.microsoft.com/office/drawing/2014/main" id="{C1667238-5CED-4BA7-C43C-EE1DDD7B2757}"/>
            </a:ext>
          </a:extLst>
        </xdr:cNvPr>
        <xdr:cNvSpPr txBox="1"/>
      </xdr:nvSpPr>
      <xdr:spPr>
        <a:xfrm>
          <a:off x="5470906" y="1214682"/>
          <a:ext cx="1110328" cy="537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F86439-5C89-4124-86B0-3B8C7DC5A3C9}" type="TxLink">
            <a:rPr lang="en-US" sz="2600" b="1" i="0" u="none" strike="noStrike">
              <a:solidFill>
                <a:srgbClr val="D9D9D9"/>
              </a:solidFill>
              <a:latin typeface="Aptos Narrow"/>
            </a:rPr>
            <a:pPr/>
            <a:t>10</a:t>
          </a:fld>
          <a:endParaRPr lang="en-US" sz="2000"/>
        </a:p>
      </xdr:txBody>
    </xdr:sp>
    <xdr:clientData/>
  </xdr:twoCellAnchor>
  <xdr:twoCellAnchor>
    <xdr:from>
      <xdr:col>12</xdr:col>
      <xdr:colOff>422190</xdr:colOff>
      <xdr:row>6</xdr:row>
      <xdr:rowOff>93433</xdr:rowOff>
    </xdr:from>
    <xdr:to>
      <xdr:col>14</xdr:col>
      <xdr:colOff>373552</xdr:colOff>
      <xdr:row>10</xdr:row>
      <xdr:rowOff>5982</xdr:rowOff>
    </xdr:to>
    <xdr:sp macro="" textlink="pivot1!K40">
      <xdr:nvSpPr>
        <xdr:cNvPr id="31" name="TextBox 30">
          <a:extLst>
            <a:ext uri="{FF2B5EF4-FFF2-40B4-BE49-F238E27FC236}">
              <a16:creationId xmlns:a16="http://schemas.microsoft.com/office/drawing/2014/main" id="{99926777-FECF-7173-8E0A-503040918453}"/>
            </a:ext>
          </a:extLst>
        </xdr:cNvPr>
        <xdr:cNvSpPr txBox="1"/>
      </xdr:nvSpPr>
      <xdr:spPr>
        <a:xfrm>
          <a:off x="7765099" y="1201797"/>
          <a:ext cx="1175180" cy="651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F292A96-F7DB-4D91-A9B3-247E66228718}" type="TxLink">
            <a:rPr lang="en-US" sz="2600" b="1" i="0" u="none" strike="noStrike">
              <a:solidFill>
                <a:srgbClr val="D9D9D9"/>
              </a:solidFill>
              <a:latin typeface="Aptos Narrow"/>
            </a:rPr>
            <a:pPr/>
            <a:t>59</a:t>
          </a:fld>
          <a:endParaRPr lang="en-US" sz="1100"/>
        </a:p>
      </xdr:txBody>
    </xdr:sp>
    <xdr:clientData/>
  </xdr:twoCellAnchor>
  <xdr:twoCellAnchor editAs="oneCell">
    <xdr:from>
      <xdr:col>1</xdr:col>
      <xdr:colOff>284480</xdr:colOff>
      <xdr:row>6</xdr:row>
      <xdr:rowOff>121920</xdr:rowOff>
    </xdr:from>
    <xdr:to>
      <xdr:col>2</xdr:col>
      <xdr:colOff>243840</xdr:colOff>
      <xdr:row>9</xdr:row>
      <xdr:rowOff>142240</xdr:rowOff>
    </xdr:to>
    <xdr:pic>
      <xdr:nvPicPr>
        <xdr:cNvPr id="35" name="Picture 34">
          <a:extLst>
            <a:ext uri="{FF2B5EF4-FFF2-40B4-BE49-F238E27FC236}">
              <a16:creationId xmlns:a16="http://schemas.microsoft.com/office/drawing/2014/main" id="{6B5B369F-3DD8-ADE5-4018-77AF3FAC7E4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94080" y="1219200"/>
          <a:ext cx="568960" cy="568960"/>
        </a:xfrm>
        <a:prstGeom prst="rect">
          <a:avLst/>
        </a:prstGeom>
      </xdr:spPr>
    </xdr:pic>
    <xdr:clientData/>
  </xdr:twoCellAnchor>
  <xdr:twoCellAnchor>
    <xdr:from>
      <xdr:col>15</xdr:col>
      <xdr:colOff>193040</xdr:colOff>
      <xdr:row>10</xdr:row>
      <xdr:rowOff>172720</xdr:rowOff>
    </xdr:from>
    <xdr:to>
      <xdr:col>18</xdr:col>
      <xdr:colOff>60960</xdr:colOff>
      <xdr:row>21</xdr:row>
      <xdr:rowOff>162560</xdr:rowOff>
    </xdr:to>
    <xdr:sp macro="" textlink="">
      <xdr:nvSpPr>
        <xdr:cNvPr id="36" name="Rectangle 35">
          <a:extLst>
            <a:ext uri="{FF2B5EF4-FFF2-40B4-BE49-F238E27FC236}">
              <a16:creationId xmlns:a16="http://schemas.microsoft.com/office/drawing/2014/main" id="{2509B444-BF83-444A-9BB2-A9D7B91836AC}"/>
            </a:ext>
          </a:extLst>
        </xdr:cNvPr>
        <xdr:cNvSpPr/>
      </xdr:nvSpPr>
      <xdr:spPr>
        <a:xfrm>
          <a:off x="9337040" y="2001520"/>
          <a:ext cx="1696720" cy="2001520"/>
        </a:xfrm>
        <a:prstGeom prst="rect">
          <a:avLst/>
        </a:prstGeom>
        <a:solidFill>
          <a:schemeClr val="dk1">
            <a:alpha val="50000"/>
          </a:schemeClr>
        </a:solidFill>
        <a:ln>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endParaRPr lang="en-US" sz="1800" b="1">
            <a:solidFill>
              <a:schemeClr val="accent1">
                <a:lumMod val="20000"/>
                <a:lumOff val="80000"/>
              </a:schemeClr>
            </a:solidFill>
          </a:endParaRPr>
        </a:p>
      </xdr:txBody>
    </xdr:sp>
    <xdr:clientData/>
  </xdr:twoCellAnchor>
  <xdr:twoCellAnchor editAs="oneCell">
    <xdr:from>
      <xdr:col>15</xdr:col>
      <xdr:colOff>254000</xdr:colOff>
      <xdr:row>11</xdr:row>
      <xdr:rowOff>10160</xdr:rowOff>
    </xdr:from>
    <xdr:to>
      <xdr:col>18</xdr:col>
      <xdr:colOff>0</xdr:colOff>
      <xdr:row>21</xdr:row>
      <xdr:rowOff>132080</xdr:rowOff>
    </xdr:to>
    <mc:AlternateContent xmlns:mc="http://schemas.openxmlformats.org/markup-compatibility/2006" xmlns:a14="http://schemas.microsoft.com/office/drawing/2010/main">
      <mc:Choice Requires="a14">
        <xdr:graphicFrame macro="">
          <xdr:nvGraphicFramePr>
            <xdr:cNvPr id="37" name="Region 1">
              <a:extLst>
                <a:ext uri="{FF2B5EF4-FFF2-40B4-BE49-F238E27FC236}">
                  <a16:creationId xmlns:a16="http://schemas.microsoft.com/office/drawing/2014/main" id="{8C35060B-3EC4-49B3-8B29-86951F246DF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398000" y="2021840"/>
              <a:ext cx="1574800" cy="1950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190970</xdr:colOff>
      <xdr:row>3</xdr:row>
      <xdr:rowOff>101600</xdr:rowOff>
    </xdr:from>
    <xdr:to>
      <xdr:col>21</xdr:col>
      <xdr:colOff>325120</xdr:colOff>
      <xdr:row>10</xdr:row>
      <xdr:rowOff>60960</xdr:rowOff>
    </xdr:to>
    <xdr:sp macro="" textlink="">
      <xdr:nvSpPr>
        <xdr:cNvPr id="38" name="Rectangle 37">
          <a:extLst>
            <a:ext uri="{FF2B5EF4-FFF2-40B4-BE49-F238E27FC236}">
              <a16:creationId xmlns:a16="http://schemas.microsoft.com/office/drawing/2014/main" id="{EB952C01-8346-45FD-B221-5D0A7B3D2D40}"/>
            </a:ext>
          </a:extLst>
        </xdr:cNvPr>
        <xdr:cNvSpPr/>
      </xdr:nvSpPr>
      <xdr:spPr>
        <a:xfrm>
          <a:off x="9334970" y="650240"/>
          <a:ext cx="3791750" cy="1239520"/>
        </a:xfrm>
        <a:prstGeom prst="rect">
          <a:avLst/>
        </a:prstGeom>
        <a:solidFill>
          <a:schemeClr val="dk1">
            <a:alpha val="50000"/>
          </a:schemeClr>
        </a:solidFill>
        <a:ln>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endParaRPr lang="en-US" sz="1800" b="1">
            <a:solidFill>
              <a:schemeClr val="accent1">
                <a:lumMod val="20000"/>
                <a:lumOff val="80000"/>
              </a:schemeClr>
            </a:solidFill>
          </a:endParaRPr>
        </a:p>
      </xdr:txBody>
    </xdr:sp>
    <xdr:clientData/>
  </xdr:twoCellAnchor>
  <xdr:twoCellAnchor>
    <xdr:from>
      <xdr:col>18</xdr:col>
      <xdr:colOff>243840</xdr:colOff>
      <xdr:row>11</xdr:row>
      <xdr:rowOff>1</xdr:rowOff>
    </xdr:from>
    <xdr:to>
      <xdr:col>21</xdr:col>
      <xdr:colOff>314960</xdr:colOff>
      <xdr:row>18</xdr:row>
      <xdr:rowOff>172720</xdr:rowOff>
    </xdr:to>
    <xdr:sp macro="" textlink="">
      <xdr:nvSpPr>
        <xdr:cNvPr id="40" name="Rectangle 39">
          <a:extLst>
            <a:ext uri="{FF2B5EF4-FFF2-40B4-BE49-F238E27FC236}">
              <a16:creationId xmlns:a16="http://schemas.microsoft.com/office/drawing/2014/main" id="{06676E1A-260C-41AD-9E2E-82511221DCBA}"/>
            </a:ext>
          </a:extLst>
        </xdr:cNvPr>
        <xdr:cNvSpPr/>
      </xdr:nvSpPr>
      <xdr:spPr>
        <a:xfrm>
          <a:off x="11216640" y="2011681"/>
          <a:ext cx="1899920" cy="1452879"/>
        </a:xfrm>
        <a:prstGeom prst="rect">
          <a:avLst/>
        </a:prstGeom>
        <a:solidFill>
          <a:schemeClr val="dk1">
            <a:alpha val="50000"/>
          </a:schemeClr>
        </a:solidFill>
        <a:ln>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endParaRPr lang="en-US" sz="1800" b="1">
            <a:solidFill>
              <a:schemeClr val="accent1">
                <a:lumMod val="20000"/>
                <a:lumOff val="80000"/>
              </a:schemeClr>
            </a:solidFill>
          </a:endParaRPr>
        </a:p>
      </xdr:txBody>
    </xdr:sp>
    <xdr:clientData/>
  </xdr:twoCellAnchor>
  <xdr:twoCellAnchor editAs="oneCell">
    <xdr:from>
      <xdr:col>18</xdr:col>
      <xdr:colOff>325119</xdr:colOff>
      <xdr:row>11</xdr:row>
      <xdr:rowOff>60961</xdr:rowOff>
    </xdr:from>
    <xdr:to>
      <xdr:col>21</xdr:col>
      <xdr:colOff>274320</xdr:colOff>
      <xdr:row>18</xdr:row>
      <xdr:rowOff>91440</xdr:rowOff>
    </xdr:to>
    <mc:AlternateContent xmlns:mc="http://schemas.openxmlformats.org/markup-compatibility/2006" xmlns:a14="http://schemas.microsoft.com/office/drawing/2010/main">
      <mc:Choice Requires="a14">
        <xdr:graphicFrame macro="">
          <xdr:nvGraphicFramePr>
            <xdr:cNvPr id="41" name="IncomeGroup">
              <a:extLst>
                <a:ext uri="{FF2B5EF4-FFF2-40B4-BE49-F238E27FC236}">
                  <a16:creationId xmlns:a16="http://schemas.microsoft.com/office/drawing/2014/main" id="{D3359627-5E88-4504-AEE5-D0D44648C8AE}"/>
                </a:ext>
              </a:extLst>
            </xdr:cNvPr>
            <xdr:cNvGraphicFramePr/>
          </xdr:nvGraphicFramePr>
          <xdr:xfrm>
            <a:off x="0" y="0"/>
            <a:ext cx="0" cy="0"/>
          </xdr:xfrm>
          <a:graphic>
            <a:graphicData uri="http://schemas.microsoft.com/office/drawing/2010/slicer">
              <sle:slicer xmlns:sle="http://schemas.microsoft.com/office/drawing/2010/slicer" name="IncomeGroup"/>
            </a:graphicData>
          </a:graphic>
        </xdr:graphicFrame>
      </mc:Choice>
      <mc:Fallback xmlns="">
        <xdr:sp macro="" textlink="">
          <xdr:nvSpPr>
            <xdr:cNvPr id="0" name=""/>
            <xdr:cNvSpPr>
              <a:spLocks noTextEdit="1"/>
            </xdr:cNvSpPr>
          </xdr:nvSpPr>
          <xdr:spPr>
            <a:xfrm>
              <a:off x="11297919" y="2072641"/>
              <a:ext cx="1778001" cy="1310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294640</xdr:colOff>
      <xdr:row>3</xdr:row>
      <xdr:rowOff>132080</xdr:rowOff>
    </xdr:from>
    <xdr:to>
      <xdr:col>21</xdr:col>
      <xdr:colOff>203200</xdr:colOff>
      <xdr:row>10</xdr:row>
      <xdr:rowOff>10160</xdr:rowOff>
    </xdr:to>
    <mc:AlternateContent xmlns:mc="http://schemas.openxmlformats.org/markup-compatibility/2006" xmlns:tsle="http://schemas.microsoft.com/office/drawing/2012/timeslicer">
      <mc:Choice Requires="tsle">
        <xdr:graphicFrame macro="">
          <xdr:nvGraphicFramePr>
            <xdr:cNvPr id="2" name="DATE 1">
              <a:extLst>
                <a:ext uri="{FF2B5EF4-FFF2-40B4-BE49-F238E27FC236}">
                  <a16:creationId xmlns:a16="http://schemas.microsoft.com/office/drawing/2014/main" id="{0D18F1AB-11F0-4C19-B4DA-43286E34F89C}"/>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9473276" y="686262"/>
              <a:ext cx="3580015" cy="117117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114300</xdr:colOff>
      <xdr:row>1</xdr:row>
      <xdr:rowOff>10025</xdr:rowOff>
    </xdr:from>
    <xdr:to>
      <xdr:col>23</xdr:col>
      <xdr:colOff>368300</xdr:colOff>
      <xdr:row>40</xdr:row>
      <xdr:rowOff>80211</xdr:rowOff>
    </xdr:to>
    <xdr:pic>
      <xdr:nvPicPr>
        <xdr:cNvPr id="3" name="Picture 2">
          <a:extLst>
            <a:ext uri="{FF2B5EF4-FFF2-40B4-BE49-F238E27FC236}">
              <a16:creationId xmlns:a16="http://schemas.microsoft.com/office/drawing/2014/main" id="{3CF1B40A-BAE2-8BF9-91A3-43DCDF5B539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300" y="187825"/>
          <a:ext cx="15786100" cy="7004386"/>
        </a:xfrm>
        <a:prstGeom prst="rect">
          <a:avLst/>
        </a:prstGeom>
      </xdr:spPr>
    </xdr:pic>
    <xdr:clientData/>
  </xdr:twoCellAnchor>
  <xdr:twoCellAnchor>
    <xdr:from>
      <xdr:col>0</xdr:col>
      <xdr:colOff>114301</xdr:colOff>
      <xdr:row>1</xdr:row>
      <xdr:rowOff>16933</xdr:rowOff>
    </xdr:from>
    <xdr:to>
      <xdr:col>23</xdr:col>
      <xdr:colOff>355600</xdr:colOff>
      <xdr:row>40</xdr:row>
      <xdr:rowOff>80211</xdr:rowOff>
    </xdr:to>
    <xdr:sp macro="" textlink="">
      <xdr:nvSpPr>
        <xdr:cNvPr id="4" name="Rectangle 3">
          <a:extLst>
            <a:ext uri="{FF2B5EF4-FFF2-40B4-BE49-F238E27FC236}">
              <a16:creationId xmlns:a16="http://schemas.microsoft.com/office/drawing/2014/main" id="{B39CF5ED-9F97-4E8A-C431-642318BD2B8D}"/>
            </a:ext>
          </a:extLst>
        </xdr:cNvPr>
        <xdr:cNvSpPr/>
      </xdr:nvSpPr>
      <xdr:spPr>
        <a:xfrm>
          <a:off x="114301" y="194733"/>
          <a:ext cx="15773399" cy="6997478"/>
        </a:xfrm>
        <a:prstGeom prst="rect">
          <a:avLst/>
        </a:prstGeom>
        <a:solidFill>
          <a:srgbClr val="000000">
            <a:alpha val="69804"/>
          </a:srgbClr>
        </a:solidFill>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165100</xdr:colOff>
      <xdr:row>1</xdr:row>
      <xdr:rowOff>70184</xdr:rowOff>
    </xdr:from>
    <xdr:to>
      <xdr:col>23</xdr:col>
      <xdr:colOff>317500</xdr:colOff>
      <xdr:row>5</xdr:row>
      <xdr:rowOff>110290</xdr:rowOff>
    </xdr:to>
    <xdr:sp macro="" textlink="">
      <xdr:nvSpPr>
        <xdr:cNvPr id="5" name="Rectangle: Rounded Corners 4">
          <a:extLst>
            <a:ext uri="{FF2B5EF4-FFF2-40B4-BE49-F238E27FC236}">
              <a16:creationId xmlns:a16="http://schemas.microsoft.com/office/drawing/2014/main" id="{762E72F9-F7AB-F6DA-DF03-20C7099B1DD5}"/>
            </a:ext>
          </a:extLst>
        </xdr:cNvPr>
        <xdr:cNvSpPr/>
      </xdr:nvSpPr>
      <xdr:spPr>
        <a:xfrm>
          <a:off x="165100" y="247984"/>
          <a:ext cx="15684500" cy="751306"/>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86449</xdr:colOff>
      <xdr:row>1</xdr:row>
      <xdr:rowOff>67509</xdr:rowOff>
    </xdr:from>
    <xdr:to>
      <xdr:col>18</xdr:col>
      <xdr:colOff>96475</xdr:colOff>
      <xdr:row>8</xdr:row>
      <xdr:rowOff>64034</xdr:rowOff>
    </xdr:to>
    <xdr:sp macro="" textlink="">
      <xdr:nvSpPr>
        <xdr:cNvPr id="6" name="TextBox 5">
          <a:extLst>
            <a:ext uri="{FF2B5EF4-FFF2-40B4-BE49-F238E27FC236}">
              <a16:creationId xmlns:a16="http://schemas.microsoft.com/office/drawing/2014/main" id="{7885DAEE-E2F6-4053-A0AD-08F4BCEF1FAC}"/>
            </a:ext>
          </a:extLst>
        </xdr:cNvPr>
        <xdr:cNvSpPr txBox="1"/>
      </xdr:nvSpPr>
      <xdr:spPr>
        <a:xfrm rot="10800000" flipH="1" flipV="1">
          <a:off x="5255349" y="245309"/>
          <a:ext cx="7325226" cy="1241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b="1">
              <a:ln>
                <a:solidFill>
                  <a:schemeClr val="lt1">
                    <a:shade val="50000"/>
                  </a:schemeClr>
                </a:solidFill>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rPr>
            <a:t>LIFE EXPECTANCY DASHBOAD</a:t>
          </a:r>
        </a:p>
      </xdr:txBody>
    </xdr:sp>
    <xdr:clientData/>
  </xdr:twoCellAnchor>
  <xdr:twoCellAnchor>
    <xdr:from>
      <xdr:col>1</xdr:col>
      <xdr:colOff>60156</xdr:colOff>
      <xdr:row>6</xdr:row>
      <xdr:rowOff>120315</xdr:rowOff>
    </xdr:from>
    <xdr:to>
      <xdr:col>5</xdr:col>
      <xdr:colOff>152399</xdr:colOff>
      <xdr:row>11</xdr:row>
      <xdr:rowOff>90237</xdr:rowOff>
    </xdr:to>
    <xdr:sp macro="" textlink="">
      <xdr:nvSpPr>
        <xdr:cNvPr id="12" name="Rectangle 11">
          <a:extLst>
            <a:ext uri="{FF2B5EF4-FFF2-40B4-BE49-F238E27FC236}">
              <a16:creationId xmlns:a16="http://schemas.microsoft.com/office/drawing/2014/main" id="{22A3FAA9-2DE6-4B1E-AFBE-887BD0B2E337}"/>
            </a:ext>
          </a:extLst>
        </xdr:cNvPr>
        <xdr:cNvSpPr/>
      </xdr:nvSpPr>
      <xdr:spPr>
        <a:xfrm>
          <a:off x="2181056" y="1187115"/>
          <a:ext cx="2530643" cy="858922"/>
        </a:xfrm>
        <a:prstGeom prst="rect">
          <a:avLst/>
        </a:prstGeom>
        <a:solidFill>
          <a:schemeClr val="dk1">
            <a:alpha val="50000"/>
          </a:schemeClr>
        </a:solidFill>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2000" b="1">
              <a:solidFill>
                <a:schemeClr val="bg1">
                  <a:lumMod val="65000"/>
                </a:schemeClr>
              </a:solidFill>
            </a:rPr>
            <a:t>            </a:t>
          </a:r>
          <a:r>
            <a:rPr lang="en-US" sz="2000" b="1">
              <a:solidFill>
                <a:schemeClr val="accent1">
                  <a:lumMod val="20000"/>
                  <a:lumOff val="80000"/>
                </a:schemeClr>
              </a:solidFill>
            </a:rPr>
            <a:t>Total</a:t>
          </a:r>
          <a:r>
            <a:rPr lang="en-US" sz="2000" b="1" baseline="0">
              <a:solidFill>
                <a:schemeClr val="accent1">
                  <a:lumMod val="20000"/>
                  <a:lumOff val="80000"/>
                </a:schemeClr>
              </a:solidFill>
            </a:rPr>
            <a:t> Countries</a:t>
          </a:r>
          <a:endParaRPr lang="en-US" sz="2000" b="1">
            <a:solidFill>
              <a:schemeClr val="accent1">
                <a:lumMod val="20000"/>
                <a:lumOff val="80000"/>
              </a:schemeClr>
            </a:solidFill>
          </a:endParaRPr>
        </a:p>
      </xdr:txBody>
    </xdr:sp>
    <xdr:clientData/>
  </xdr:twoCellAnchor>
  <xdr:twoCellAnchor>
    <xdr:from>
      <xdr:col>2</xdr:col>
      <xdr:colOff>340892</xdr:colOff>
      <xdr:row>8</xdr:row>
      <xdr:rowOff>64835</xdr:rowOff>
    </xdr:from>
    <xdr:to>
      <xdr:col>4</xdr:col>
      <xdr:colOff>223392</xdr:colOff>
      <xdr:row>11</xdr:row>
      <xdr:rowOff>55840</xdr:rowOff>
    </xdr:to>
    <xdr:sp macro="" textlink="pivot1!O40">
      <xdr:nvSpPr>
        <xdr:cNvPr id="13" name="TextBox 12">
          <a:extLst>
            <a:ext uri="{FF2B5EF4-FFF2-40B4-BE49-F238E27FC236}">
              <a16:creationId xmlns:a16="http://schemas.microsoft.com/office/drawing/2014/main" id="{C991D628-F89C-4852-BA69-995FE9887542}"/>
            </a:ext>
          </a:extLst>
        </xdr:cNvPr>
        <xdr:cNvSpPr txBox="1"/>
      </xdr:nvSpPr>
      <xdr:spPr>
        <a:xfrm>
          <a:off x="3071392" y="1487235"/>
          <a:ext cx="1101700" cy="524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497834-4683-42AB-A047-39D6E84FE0B9}" type="TxLink">
            <a:rPr lang="en-US" sz="2600" b="1" i="0" u="none" strike="noStrike">
              <a:solidFill>
                <a:srgbClr val="D9D9D9"/>
              </a:solidFill>
              <a:latin typeface="Aptos Narrow"/>
            </a:rPr>
            <a:pPr/>
            <a:t>18</a:t>
          </a:fld>
          <a:endParaRPr lang="en-US" sz="2000"/>
        </a:p>
      </xdr:txBody>
    </xdr:sp>
    <xdr:clientData/>
  </xdr:twoCellAnchor>
  <xdr:twoCellAnchor>
    <xdr:from>
      <xdr:col>7</xdr:col>
      <xdr:colOff>368300</xdr:colOff>
      <xdr:row>6</xdr:row>
      <xdr:rowOff>101601</xdr:rowOff>
    </xdr:from>
    <xdr:to>
      <xdr:col>12</xdr:col>
      <xdr:colOff>38099</xdr:colOff>
      <xdr:row>11</xdr:row>
      <xdr:rowOff>84669</xdr:rowOff>
    </xdr:to>
    <xdr:sp macro="" textlink="">
      <xdr:nvSpPr>
        <xdr:cNvPr id="14" name="Rectangle 13">
          <a:extLst>
            <a:ext uri="{FF2B5EF4-FFF2-40B4-BE49-F238E27FC236}">
              <a16:creationId xmlns:a16="http://schemas.microsoft.com/office/drawing/2014/main" id="{B086C886-F212-44DA-929D-9D36002B6955}"/>
            </a:ext>
          </a:extLst>
        </xdr:cNvPr>
        <xdr:cNvSpPr/>
      </xdr:nvSpPr>
      <xdr:spPr>
        <a:xfrm>
          <a:off x="6146800" y="1168401"/>
          <a:ext cx="2717799" cy="872068"/>
        </a:xfrm>
        <a:prstGeom prst="rect">
          <a:avLst/>
        </a:prstGeom>
        <a:solidFill>
          <a:schemeClr val="dk1">
            <a:alpha val="50000"/>
          </a:schemeClr>
        </a:solidFill>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800" b="1">
              <a:solidFill>
                <a:schemeClr val="accent1">
                  <a:lumMod val="20000"/>
                  <a:lumOff val="80000"/>
                </a:schemeClr>
              </a:solidFill>
            </a:rPr>
            <a:t>            Avg life expectancy</a:t>
          </a:r>
        </a:p>
      </xdr:txBody>
    </xdr:sp>
    <xdr:clientData/>
  </xdr:twoCellAnchor>
  <xdr:twoCellAnchor>
    <xdr:from>
      <xdr:col>9</xdr:col>
      <xdr:colOff>187668</xdr:colOff>
      <xdr:row>8</xdr:row>
      <xdr:rowOff>78205</xdr:rowOff>
    </xdr:from>
    <xdr:to>
      <xdr:col>11</xdr:col>
      <xdr:colOff>135020</xdr:colOff>
      <xdr:row>11</xdr:row>
      <xdr:rowOff>175443</xdr:rowOff>
    </xdr:to>
    <xdr:sp macro="" textlink="pivot1!K40">
      <xdr:nvSpPr>
        <xdr:cNvPr id="15" name="TextBox 14">
          <a:extLst>
            <a:ext uri="{FF2B5EF4-FFF2-40B4-BE49-F238E27FC236}">
              <a16:creationId xmlns:a16="http://schemas.microsoft.com/office/drawing/2014/main" id="{7F6EC3A7-5C1A-4395-9E29-66063CE1F8E8}"/>
            </a:ext>
          </a:extLst>
        </xdr:cNvPr>
        <xdr:cNvSpPr txBox="1"/>
      </xdr:nvSpPr>
      <xdr:spPr>
        <a:xfrm>
          <a:off x="7185368" y="1500605"/>
          <a:ext cx="1166552" cy="630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F292A96-F7DB-4D91-A9B3-247E66228718}" type="TxLink">
            <a:rPr lang="en-US" sz="2600" b="1" i="0" u="none" strike="noStrike">
              <a:solidFill>
                <a:srgbClr val="D9D9D9"/>
              </a:solidFill>
              <a:latin typeface="Aptos Narrow"/>
            </a:rPr>
            <a:pPr/>
            <a:t>59</a:t>
          </a:fld>
          <a:endParaRPr lang="en-US" sz="1100"/>
        </a:p>
      </xdr:txBody>
    </xdr:sp>
    <xdr:clientData/>
  </xdr:twoCellAnchor>
  <xdr:twoCellAnchor>
    <xdr:from>
      <xdr:col>13</xdr:col>
      <xdr:colOff>203200</xdr:colOff>
      <xdr:row>6</xdr:row>
      <xdr:rowOff>88900</xdr:rowOff>
    </xdr:from>
    <xdr:to>
      <xdr:col>17</xdr:col>
      <xdr:colOff>495300</xdr:colOff>
      <xdr:row>11</xdr:row>
      <xdr:rowOff>77280</xdr:rowOff>
    </xdr:to>
    <xdr:sp macro="" textlink="">
      <xdr:nvSpPr>
        <xdr:cNvPr id="16" name="Rectangle 15">
          <a:extLst>
            <a:ext uri="{FF2B5EF4-FFF2-40B4-BE49-F238E27FC236}">
              <a16:creationId xmlns:a16="http://schemas.microsoft.com/office/drawing/2014/main" id="{F2CEDC43-698A-4743-A839-24362EC14902}"/>
            </a:ext>
          </a:extLst>
        </xdr:cNvPr>
        <xdr:cNvSpPr/>
      </xdr:nvSpPr>
      <xdr:spPr>
        <a:xfrm>
          <a:off x="9639300" y="1155700"/>
          <a:ext cx="2730500" cy="877380"/>
        </a:xfrm>
        <a:prstGeom prst="rect">
          <a:avLst/>
        </a:prstGeom>
        <a:solidFill>
          <a:schemeClr val="dk1">
            <a:alpha val="50000"/>
          </a:schemeClr>
        </a:solidFill>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800" b="1">
              <a:solidFill>
                <a:schemeClr val="accent1">
                  <a:lumMod val="20000"/>
                  <a:lumOff val="80000"/>
                </a:schemeClr>
              </a:solidFill>
            </a:rPr>
            <a:t>        Avg of</a:t>
          </a:r>
          <a:r>
            <a:rPr lang="en-US" sz="1800" b="1" baseline="0">
              <a:solidFill>
                <a:schemeClr val="accent1">
                  <a:lumMod val="20000"/>
                  <a:lumOff val="80000"/>
                </a:schemeClr>
              </a:solidFill>
            </a:rPr>
            <a:t> unemployment</a:t>
          </a:r>
          <a:endParaRPr lang="en-US" sz="1800" b="1">
            <a:solidFill>
              <a:schemeClr val="accent1">
                <a:lumMod val="20000"/>
                <a:lumOff val="80000"/>
              </a:schemeClr>
            </a:solidFill>
          </a:endParaRPr>
        </a:p>
      </xdr:txBody>
    </xdr:sp>
    <xdr:clientData/>
  </xdr:twoCellAnchor>
  <xdr:twoCellAnchor>
    <xdr:from>
      <xdr:col>1</xdr:col>
      <xdr:colOff>60158</xdr:colOff>
      <xdr:row>12</xdr:row>
      <xdr:rowOff>127000</xdr:rowOff>
    </xdr:from>
    <xdr:to>
      <xdr:col>8</xdr:col>
      <xdr:colOff>558799</xdr:colOff>
      <xdr:row>24</xdr:row>
      <xdr:rowOff>120316</xdr:rowOff>
    </xdr:to>
    <xdr:sp macro="" textlink="">
      <xdr:nvSpPr>
        <xdr:cNvPr id="17" name="Rectangle 16">
          <a:extLst>
            <a:ext uri="{FF2B5EF4-FFF2-40B4-BE49-F238E27FC236}">
              <a16:creationId xmlns:a16="http://schemas.microsoft.com/office/drawing/2014/main" id="{7EA2B46F-833E-4CC8-AC4F-DBB818B0FB9E}"/>
            </a:ext>
          </a:extLst>
        </xdr:cNvPr>
        <xdr:cNvSpPr/>
      </xdr:nvSpPr>
      <xdr:spPr>
        <a:xfrm>
          <a:off x="2181058" y="2260600"/>
          <a:ext cx="4765841" cy="2126916"/>
        </a:xfrm>
        <a:prstGeom prst="rect">
          <a:avLst/>
        </a:prstGeom>
        <a:solidFill>
          <a:schemeClr val="dk1">
            <a:alpha val="50000"/>
          </a:schemeClr>
        </a:solidFill>
        <a:ln>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120315</xdr:colOff>
      <xdr:row>12</xdr:row>
      <xdr:rowOff>139700</xdr:rowOff>
    </xdr:from>
    <xdr:to>
      <xdr:col>8</xdr:col>
      <xdr:colOff>533400</xdr:colOff>
      <xdr:row>24</xdr:row>
      <xdr:rowOff>141143</xdr:rowOff>
    </xdr:to>
    <xdr:graphicFrame macro="">
      <xdr:nvGraphicFramePr>
        <xdr:cNvPr id="21" name="Chart 20">
          <a:extLst>
            <a:ext uri="{FF2B5EF4-FFF2-40B4-BE49-F238E27FC236}">
              <a16:creationId xmlns:a16="http://schemas.microsoft.com/office/drawing/2014/main" id="{8F91901E-B344-4917-B11C-E2A7C36EC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129449</xdr:colOff>
      <xdr:row>12</xdr:row>
      <xdr:rowOff>127000</xdr:rowOff>
    </xdr:from>
    <xdr:to>
      <xdr:col>16</xdr:col>
      <xdr:colOff>237066</xdr:colOff>
      <xdr:row>24</xdr:row>
      <xdr:rowOff>116527</xdr:rowOff>
    </xdr:to>
    <xdr:sp macro="" textlink="">
      <xdr:nvSpPr>
        <xdr:cNvPr id="24" name="Rectangle 23">
          <a:extLst>
            <a:ext uri="{FF2B5EF4-FFF2-40B4-BE49-F238E27FC236}">
              <a16:creationId xmlns:a16="http://schemas.microsoft.com/office/drawing/2014/main" id="{6D8F5D33-DACA-476A-B8B4-F8B89588FBFA}"/>
            </a:ext>
          </a:extLst>
        </xdr:cNvPr>
        <xdr:cNvSpPr/>
      </xdr:nvSpPr>
      <xdr:spPr>
        <a:xfrm>
          <a:off x="7127149" y="2260600"/>
          <a:ext cx="4374817" cy="2123127"/>
        </a:xfrm>
        <a:prstGeom prst="rect">
          <a:avLst/>
        </a:prstGeom>
        <a:solidFill>
          <a:schemeClr val="dk1">
            <a:alpha val="50000"/>
          </a:schemeClr>
        </a:solidFill>
        <a:ln>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186267</xdr:colOff>
      <xdr:row>12</xdr:row>
      <xdr:rowOff>165100</xdr:rowOff>
    </xdr:from>
    <xdr:to>
      <xdr:col>16</xdr:col>
      <xdr:colOff>237067</xdr:colOff>
      <xdr:row>24</xdr:row>
      <xdr:rowOff>141037</xdr:rowOff>
    </xdr:to>
    <xdr:graphicFrame macro="">
      <xdr:nvGraphicFramePr>
        <xdr:cNvPr id="25" name="Chart 24">
          <a:extLst>
            <a:ext uri="{FF2B5EF4-FFF2-40B4-BE49-F238E27FC236}">
              <a16:creationId xmlns:a16="http://schemas.microsoft.com/office/drawing/2014/main" id="{535D47A0-3CDF-48AE-8398-6D14FCF26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56432</xdr:colOff>
      <xdr:row>25</xdr:row>
      <xdr:rowOff>157841</xdr:rowOff>
    </xdr:from>
    <xdr:to>
      <xdr:col>8</xdr:col>
      <xdr:colOff>558799</xdr:colOff>
      <xdr:row>40</xdr:row>
      <xdr:rowOff>19468</xdr:rowOff>
    </xdr:to>
    <xdr:sp macro="" textlink="">
      <xdr:nvSpPr>
        <xdr:cNvPr id="30" name="Rectangle 29">
          <a:extLst>
            <a:ext uri="{FF2B5EF4-FFF2-40B4-BE49-F238E27FC236}">
              <a16:creationId xmlns:a16="http://schemas.microsoft.com/office/drawing/2014/main" id="{306B0078-3260-402A-BD09-11A1E037B513}"/>
            </a:ext>
          </a:extLst>
        </xdr:cNvPr>
        <xdr:cNvSpPr/>
      </xdr:nvSpPr>
      <xdr:spPr>
        <a:xfrm>
          <a:off x="2177332" y="4602841"/>
          <a:ext cx="4769567" cy="2528627"/>
        </a:xfrm>
        <a:prstGeom prst="rect">
          <a:avLst/>
        </a:prstGeom>
        <a:solidFill>
          <a:schemeClr val="dk1">
            <a:alpha val="50000"/>
          </a:schemeClr>
        </a:solidFill>
        <a:ln>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56432</xdr:colOff>
      <xdr:row>25</xdr:row>
      <xdr:rowOff>157841</xdr:rowOff>
    </xdr:from>
    <xdr:to>
      <xdr:col>8</xdr:col>
      <xdr:colOff>546100</xdr:colOff>
      <xdr:row>39</xdr:row>
      <xdr:rowOff>172502</xdr:rowOff>
    </xdr:to>
    <xdr:graphicFrame macro="">
      <xdr:nvGraphicFramePr>
        <xdr:cNvPr id="31" name="Chart 30">
          <a:extLst>
            <a:ext uri="{FF2B5EF4-FFF2-40B4-BE49-F238E27FC236}">
              <a16:creationId xmlns:a16="http://schemas.microsoft.com/office/drawing/2014/main" id="{38F0B9DC-6DB7-4259-B0BA-5DD30D3F48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50800</xdr:colOff>
      <xdr:row>6</xdr:row>
      <xdr:rowOff>68081</xdr:rowOff>
    </xdr:from>
    <xdr:to>
      <xdr:col>23</xdr:col>
      <xdr:colOff>304800</xdr:colOff>
      <xdr:row>11</xdr:row>
      <xdr:rowOff>38001</xdr:rowOff>
    </xdr:to>
    <xdr:sp macro="" textlink="">
      <xdr:nvSpPr>
        <xdr:cNvPr id="33" name="Rectangle 32">
          <a:extLst>
            <a:ext uri="{FF2B5EF4-FFF2-40B4-BE49-F238E27FC236}">
              <a16:creationId xmlns:a16="http://schemas.microsoft.com/office/drawing/2014/main" id="{143101AB-7E83-4302-9061-7F3C210361E7}"/>
            </a:ext>
          </a:extLst>
        </xdr:cNvPr>
        <xdr:cNvSpPr/>
      </xdr:nvSpPr>
      <xdr:spPr>
        <a:xfrm>
          <a:off x="13144500" y="1134881"/>
          <a:ext cx="2692400" cy="858920"/>
        </a:xfrm>
        <a:prstGeom prst="rect">
          <a:avLst/>
        </a:prstGeom>
        <a:solidFill>
          <a:schemeClr val="dk1">
            <a:alpha val="50000"/>
          </a:schemeClr>
        </a:solidFill>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800" b="1">
              <a:solidFill>
                <a:schemeClr val="accent1">
                  <a:lumMod val="20000"/>
                  <a:lumOff val="80000"/>
                </a:schemeClr>
              </a:solidFill>
            </a:rPr>
            <a:t>           Average Education Expenditure</a:t>
          </a:r>
        </a:p>
      </xdr:txBody>
    </xdr:sp>
    <xdr:clientData/>
  </xdr:twoCellAnchor>
  <xdr:twoCellAnchor>
    <xdr:from>
      <xdr:col>9</xdr:col>
      <xdr:colOff>135466</xdr:colOff>
      <xdr:row>25</xdr:row>
      <xdr:rowOff>127348</xdr:rowOff>
    </xdr:from>
    <xdr:to>
      <xdr:col>16</xdr:col>
      <xdr:colOff>287867</xdr:colOff>
      <xdr:row>40</xdr:row>
      <xdr:rowOff>12700</xdr:rowOff>
    </xdr:to>
    <xdr:sp macro="" textlink="">
      <xdr:nvSpPr>
        <xdr:cNvPr id="34" name="Rectangle 33">
          <a:extLst>
            <a:ext uri="{FF2B5EF4-FFF2-40B4-BE49-F238E27FC236}">
              <a16:creationId xmlns:a16="http://schemas.microsoft.com/office/drawing/2014/main" id="{DF6C39F5-EAA2-4FDB-972C-54A728B2911C}"/>
            </a:ext>
          </a:extLst>
        </xdr:cNvPr>
        <xdr:cNvSpPr/>
      </xdr:nvSpPr>
      <xdr:spPr>
        <a:xfrm>
          <a:off x="5621866" y="4572348"/>
          <a:ext cx="4419601" cy="2552352"/>
        </a:xfrm>
        <a:prstGeom prst="rect">
          <a:avLst/>
        </a:prstGeom>
        <a:solidFill>
          <a:schemeClr val="dk1">
            <a:alpha val="50000"/>
          </a:schemeClr>
        </a:solidFill>
        <a:ln>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237066</xdr:colOff>
      <xdr:row>25</xdr:row>
      <xdr:rowOff>152399</xdr:rowOff>
    </xdr:from>
    <xdr:to>
      <xdr:col>16</xdr:col>
      <xdr:colOff>74730</xdr:colOff>
      <xdr:row>39</xdr:row>
      <xdr:rowOff>57768</xdr:rowOff>
    </xdr:to>
    <xdr:graphicFrame macro="">
      <xdr:nvGraphicFramePr>
        <xdr:cNvPr id="36" name="Chart 35">
          <a:extLst>
            <a:ext uri="{FF2B5EF4-FFF2-40B4-BE49-F238E27FC236}">
              <a16:creationId xmlns:a16="http://schemas.microsoft.com/office/drawing/2014/main" id="{5E88925E-04B7-4DA8-91D9-713A69B4CF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368300</xdr:colOff>
      <xdr:row>25</xdr:row>
      <xdr:rowOff>111624</xdr:rowOff>
    </xdr:from>
    <xdr:to>
      <xdr:col>23</xdr:col>
      <xdr:colOff>338667</xdr:colOff>
      <xdr:row>39</xdr:row>
      <xdr:rowOff>177799</xdr:rowOff>
    </xdr:to>
    <xdr:sp macro="" textlink="">
      <xdr:nvSpPr>
        <xdr:cNvPr id="37" name="Rectangle 36">
          <a:extLst>
            <a:ext uri="{FF2B5EF4-FFF2-40B4-BE49-F238E27FC236}">
              <a16:creationId xmlns:a16="http://schemas.microsoft.com/office/drawing/2014/main" id="{D931CFCA-296A-44AC-91F5-ECCC492D0F09}"/>
            </a:ext>
          </a:extLst>
        </xdr:cNvPr>
        <xdr:cNvSpPr/>
      </xdr:nvSpPr>
      <xdr:spPr>
        <a:xfrm>
          <a:off x="11633200" y="4556624"/>
          <a:ext cx="4237567" cy="2555375"/>
        </a:xfrm>
        <a:prstGeom prst="rect">
          <a:avLst/>
        </a:prstGeom>
        <a:solidFill>
          <a:schemeClr val="dk1">
            <a:alpha val="50000"/>
          </a:schemeClr>
        </a:solidFill>
        <a:ln>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566420</xdr:colOff>
      <xdr:row>25</xdr:row>
      <xdr:rowOff>145492</xdr:rowOff>
    </xdr:from>
    <xdr:to>
      <xdr:col>23</xdr:col>
      <xdr:colOff>261619</xdr:colOff>
      <xdr:row>40</xdr:row>
      <xdr:rowOff>0</xdr:rowOff>
    </xdr:to>
    <xdr:graphicFrame macro="">
      <xdr:nvGraphicFramePr>
        <xdr:cNvPr id="38" name="Chart 37">
          <a:extLst>
            <a:ext uri="{FF2B5EF4-FFF2-40B4-BE49-F238E27FC236}">
              <a16:creationId xmlns:a16="http://schemas.microsoft.com/office/drawing/2014/main" id="{ACF3D612-CBD4-4733-A40C-E558A5260E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558800</xdr:colOff>
      <xdr:row>9</xdr:row>
      <xdr:rowOff>84667</xdr:rowOff>
    </xdr:from>
    <xdr:to>
      <xdr:col>16</xdr:col>
      <xdr:colOff>355600</xdr:colOff>
      <xdr:row>10</xdr:row>
      <xdr:rowOff>118533</xdr:rowOff>
    </xdr:to>
    <xdr:sp macro="" textlink="">
      <xdr:nvSpPr>
        <xdr:cNvPr id="41" name="TextBox 40">
          <a:extLst>
            <a:ext uri="{FF2B5EF4-FFF2-40B4-BE49-F238E27FC236}">
              <a16:creationId xmlns:a16="http://schemas.microsoft.com/office/drawing/2014/main" id="{E52D1AF9-ECC3-FC13-F920-A38F9B312AD6}"/>
            </a:ext>
          </a:extLst>
        </xdr:cNvPr>
        <xdr:cNvSpPr txBox="1"/>
      </xdr:nvSpPr>
      <xdr:spPr>
        <a:xfrm>
          <a:off x="9093200" y="1761067"/>
          <a:ext cx="1016000" cy="220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15</xdr:col>
      <xdr:colOff>173568</xdr:colOff>
      <xdr:row>8</xdr:row>
      <xdr:rowOff>76200</xdr:rowOff>
    </xdr:from>
    <xdr:to>
      <xdr:col>16</xdr:col>
      <xdr:colOff>410634</xdr:colOff>
      <xdr:row>11</xdr:row>
      <xdr:rowOff>8467</xdr:rowOff>
    </xdr:to>
    <xdr:sp macro="" textlink="pivot1!M40">
      <xdr:nvSpPr>
        <xdr:cNvPr id="42" name="TextBox 41">
          <a:extLst>
            <a:ext uri="{FF2B5EF4-FFF2-40B4-BE49-F238E27FC236}">
              <a16:creationId xmlns:a16="http://schemas.microsoft.com/office/drawing/2014/main" id="{AC7E28A5-6B70-AF95-3718-91EA1296455E}"/>
            </a:ext>
          </a:extLst>
        </xdr:cNvPr>
        <xdr:cNvSpPr txBox="1"/>
      </xdr:nvSpPr>
      <xdr:spPr>
        <a:xfrm>
          <a:off x="10828868" y="1498600"/>
          <a:ext cx="846666" cy="465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E37E110-E0E7-4B86-9E2E-8D7ABA2D59DF}" type="TxLink">
            <a:rPr lang="en-US" sz="2600" b="1" i="0" u="none" strike="noStrike">
              <a:solidFill>
                <a:srgbClr val="D9D9D9"/>
              </a:solidFill>
              <a:latin typeface="Aptos Narrow"/>
            </a:rPr>
            <a:pPr/>
            <a:t>10</a:t>
          </a:fld>
          <a:endParaRPr lang="en-US" sz="1100"/>
        </a:p>
      </xdr:txBody>
    </xdr:sp>
    <xdr:clientData/>
  </xdr:twoCellAnchor>
  <xdr:twoCellAnchor>
    <xdr:from>
      <xdr:col>21</xdr:col>
      <xdr:colOff>1</xdr:colOff>
      <xdr:row>8</xdr:row>
      <xdr:rowOff>156981</xdr:rowOff>
    </xdr:from>
    <xdr:to>
      <xdr:col>22</xdr:col>
      <xdr:colOff>237067</xdr:colOff>
      <xdr:row>11</xdr:row>
      <xdr:rowOff>89248</xdr:rowOff>
    </xdr:to>
    <xdr:sp macro="" textlink="pivot1!L40">
      <xdr:nvSpPr>
        <xdr:cNvPr id="43" name="TextBox 42">
          <a:extLst>
            <a:ext uri="{FF2B5EF4-FFF2-40B4-BE49-F238E27FC236}">
              <a16:creationId xmlns:a16="http://schemas.microsoft.com/office/drawing/2014/main" id="{541E2DA1-509C-427F-9679-0DAEBE5BC9EF}"/>
            </a:ext>
          </a:extLst>
        </xdr:cNvPr>
        <xdr:cNvSpPr txBox="1"/>
      </xdr:nvSpPr>
      <xdr:spPr>
        <a:xfrm>
          <a:off x="14312901" y="1579381"/>
          <a:ext cx="846666" cy="465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91FF17-4543-4613-9B70-B1B074859412}" type="TxLink">
            <a:rPr lang="en-US" sz="2600" b="0" i="0" u="none" strike="noStrike">
              <a:solidFill>
                <a:srgbClr val="D9D9D9"/>
              </a:solidFill>
              <a:latin typeface="Aptos Narrow"/>
            </a:rPr>
            <a:pPr/>
            <a:t>4</a:t>
          </a:fld>
          <a:endParaRPr lang="en-US" sz="1100"/>
        </a:p>
      </xdr:txBody>
    </xdr:sp>
    <xdr:clientData/>
  </xdr:twoCellAnchor>
  <xdr:twoCellAnchor editAs="oneCell">
    <xdr:from>
      <xdr:col>5</xdr:col>
      <xdr:colOff>357381</xdr:colOff>
      <xdr:row>1</xdr:row>
      <xdr:rowOff>71741</xdr:rowOff>
    </xdr:from>
    <xdr:to>
      <xdr:col>6</xdr:col>
      <xdr:colOff>486832</xdr:colOff>
      <xdr:row>5</xdr:row>
      <xdr:rowOff>59266</xdr:rowOff>
    </xdr:to>
    <xdr:pic>
      <xdr:nvPicPr>
        <xdr:cNvPr id="44" name="Picture 43">
          <a:extLst>
            <a:ext uri="{FF2B5EF4-FFF2-40B4-BE49-F238E27FC236}">
              <a16:creationId xmlns:a16="http://schemas.microsoft.com/office/drawing/2014/main" id="{D6450C91-64A7-4D61-ADB1-2378F29D3A1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916681" y="249541"/>
          <a:ext cx="739051" cy="698725"/>
        </a:xfrm>
        <a:prstGeom prst="rect">
          <a:avLst/>
        </a:prstGeom>
      </xdr:spPr>
    </xdr:pic>
    <xdr:clientData/>
  </xdr:twoCellAnchor>
  <xdr:twoCellAnchor>
    <xdr:from>
      <xdr:col>0</xdr:col>
      <xdr:colOff>177800</xdr:colOff>
      <xdr:row>6</xdr:row>
      <xdr:rowOff>50800</xdr:rowOff>
    </xdr:from>
    <xdr:to>
      <xdr:col>0</xdr:col>
      <xdr:colOff>2095500</xdr:colOff>
      <xdr:row>40</xdr:row>
      <xdr:rowOff>0</xdr:rowOff>
    </xdr:to>
    <xdr:sp macro="" textlink="">
      <xdr:nvSpPr>
        <xdr:cNvPr id="48" name="Rectangle: Rounded Corners 47">
          <a:extLst>
            <a:ext uri="{FF2B5EF4-FFF2-40B4-BE49-F238E27FC236}">
              <a16:creationId xmlns:a16="http://schemas.microsoft.com/office/drawing/2014/main" id="{6CFBA416-E889-28C4-388F-482A4503BF50}"/>
            </a:ext>
          </a:extLst>
        </xdr:cNvPr>
        <xdr:cNvSpPr/>
      </xdr:nvSpPr>
      <xdr:spPr>
        <a:xfrm>
          <a:off x="177800" y="1117600"/>
          <a:ext cx="1917700" cy="5994400"/>
        </a:xfrm>
        <a:prstGeom prst="roundRect">
          <a:avLst/>
        </a:prstGeom>
        <a:solidFill>
          <a:schemeClr val="dk1">
            <a:alpha val="50000"/>
          </a:schemeClr>
        </a:solidFill>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254000</xdr:colOff>
      <xdr:row>9</xdr:row>
      <xdr:rowOff>88900</xdr:rowOff>
    </xdr:from>
    <xdr:to>
      <xdr:col>0</xdr:col>
      <xdr:colOff>1905000</xdr:colOff>
      <xdr:row>17</xdr:row>
      <xdr:rowOff>63500</xdr:rowOff>
    </xdr:to>
    <mc:AlternateContent xmlns:mc="http://schemas.openxmlformats.org/markup-compatibility/2006" xmlns:a14="http://schemas.microsoft.com/office/drawing/2010/main">
      <mc:Choice Requires="a14">
        <xdr:graphicFrame macro="">
          <xdr:nvGraphicFramePr>
            <xdr:cNvPr id="49" name="IncomeGroup 1">
              <a:extLst>
                <a:ext uri="{FF2B5EF4-FFF2-40B4-BE49-F238E27FC236}">
                  <a16:creationId xmlns:a16="http://schemas.microsoft.com/office/drawing/2014/main" id="{1E009BCA-1552-4BF8-B5B0-301096ED6B68}"/>
                </a:ext>
              </a:extLst>
            </xdr:cNvPr>
            <xdr:cNvGraphicFramePr/>
          </xdr:nvGraphicFramePr>
          <xdr:xfrm>
            <a:off x="0" y="0"/>
            <a:ext cx="0" cy="0"/>
          </xdr:xfrm>
          <a:graphic>
            <a:graphicData uri="http://schemas.microsoft.com/office/drawing/2010/slicer">
              <sle:slicer xmlns:sle="http://schemas.microsoft.com/office/drawing/2010/slicer" name="IncomeGroup 1"/>
            </a:graphicData>
          </a:graphic>
        </xdr:graphicFrame>
      </mc:Choice>
      <mc:Fallback xmlns="">
        <xdr:sp macro="" textlink="">
          <xdr:nvSpPr>
            <xdr:cNvPr id="0" name=""/>
            <xdr:cNvSpPr>
              <a:spLocks noTextEdit="1"/>
            </xdr:cNvSpPr>
          </xdr:nvSpPr>
          <xdr:spPr>
            <a:xfrm>
              <a:off x="254000" y="1689100"/>
              <a:ext cx="1651000" cy="139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241300</xdr:colOff>
      <xdr:row>18</xdr:row>
      <xdr:rowOff>76200</xdr:rowOff>
    </xdr:from>
    <xdr:to>
      <xdr:col>0</xdr:col>
      <xdr:colOff>1917700</xdr:colOff>
      <xdr:row>30</xdr:row>
      <xdr:rowOff>152400</xdr:rowOff>
    </xdr:to>
    <mc:AlternateContent xmlns:mc="http://schemas.openxmlformats.org/markup-compatibility/2006" xmlns:a14="http://schemas.microsoft.com/office/drawing/2010/main">
      <mc:Choice Requires="a14">
        <xdr:graphicFrame macro="">
          <xdr:nvGraphicFramePr>
            <xdr:cNvPr id="50" name="Region 2">
              <a:extLst>
                <a:ext uri="{FF2B5EF4-FFF2-40B4-BE49-F238E27FC236}">
                  <a16:creationId xmlns:a16="http://schemas.microsoft.com/office/drawing/2014/main" id="{3343A9BA-CA9F-45F8-A559-7EDEDF44B526}"/>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241300" y="3276600"/>
              <a:ext cx="1676400" cy="2209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254001</xdr:colOff>
      <xdr:row>31</xdr:row>
      <xdr:rowOff>50800</xdr:rowOff>
    </xdr:from>
    <xdr:to>
      <xdr:col>0</xdr:col>
      <xdr:colOff>1879601</xdr:colOff>
      <xdr:row>39</xdr:row>
      <xdr:rowOff>50800</xdr:rowOff>
    </xdr:to>
    <mc:AlternateContent xmlns:mc="http://schemas.openxmlformats.org/markup-compatibility/2006" xmlns:tsle="http://schemas.microsoft.com/office/drawing/2012/timeslicer">
      <mc:Choice Requires="tsle">
        <xdr:graphicFrame macro="">
          <xdr:nvGraphicFramePr>
            <xdr:cNvPr id="51" name="DATE 2">
              <a:extLst>
                <a:ext uri="{FF2B5EF4-FFF2-40B4-BE49-F238E27FC236}">
                  <a16:creationId xmlns:a16="http://schemas.microsoft.com/office/drawing/2014/main" id="{6476D7D4-1A36-470E-A8B9-96F4FAA90702}"/>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54001" y="5562600"/>
              <a:ext cx="1625600" cy="14224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7</xdr:col>
      <xdr:colOff>165100</xdr:colOff>
      <xdr:row>5</xdr:row>
      <xdr:rowOff>152402</xdr:rowOff>
    </xdr:from>
    <xdr:to>
      <xdr:col>9</xdr:col>
      <xdr:colOff>12700</xdr:colOff>
      <xdr:row>12</xdr:row>
      <xdr:rowOff>63500</xdr:rowOff>
    </xdr:to>
    <xdr:pic>
      <xdr:nvPicPr>
        <xdr:cNvPr id="53" name="Picture 52">
          <a:extLst>
            <a:ext uri="{FF2B5EF4-FFF2-40B4-BE49-F238E27FC236}">
              <a16:creationId xmlns:a16="http://schemas.microsoft.com/office/drawing/2014/main" id="{C85796A9-8118-A916-9BFD-2A3648F2E0B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943600" y="1041402"/>
          <a:ext cx="1066800" cy="1155698"/>
        </a:xfrm>
        <a:prstGeom prst="rect">
          <a:avLst/>
        </a:prstGeom>
      </xdr:spPr>
    </xdr:pic>
    <xdr:clientData/>
  </xdr:twoCellAnchor>
  <xdr:twoCellAnchor editAs="oneCell">
    <xdr:from>
      <xdr:col>13</xdr:col>
      <xdr:colOff>215900</xdr:colOff>
      <xdr:row>6</xdr:row>
      <xdr:rowOff>127000</xdr:rowOff>
    </xdr:from>
    <xdr:to>
      <xdr:col>14</xdr:col>
      <xdr:colOff>165100</xdr:colOff>
      <xdr:row>10</xdr:row>
      <xdr:rowOff>88900</xdr:rowOff>
    </xdr:to>
    <xdr:pic>
      <xdr:nvPicPr>
        <xdr:cNvPr id="55" name="Picture 54">
          <a:extLst>
            <a:ext uri="{FF2B5EF4-FFF2-40B4-BE49-F238E27FC236}">
              <a16:creationId xmlns:a16="http://schemas.microsoft.com/office/drawing/2014/main" id="{BA1EE6A7-C9CA-AFC1-05EE-50C660A1925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652000" y="1193800"/>
          <a:ext cx="558800" cy="673100"/>
        </a:xfrm>
        <a:prstGeom prst="rect">
          <a:avLst/>
        </a:prstGeom>
      </xdr:spPr>
    </xdr:pic>
    <xdr:clientData/>
  </xdr:twoCellAnchor>
  <xdr:twoCellAnchor editAs="oneCell">
    <xdr:from>
      <xdr:col>0</xdr:col>
      <xdr:colOff>215900</xdr:colOff>
      <xdr:row>6</xdr:row>
      <xdr:rowOff>76200</xdr:rowOff>
    </xdr:from>
    <xdr:to>
      <xdr:col>0</xdr:col>
      <xdr:colOff>673100</xdr:colOff>
      <xdr:row>9</xdr:row>
      <xdr:rowOff>0</xdr:rowOff>
    </xdr:to>
    <xdr:pic>
      <xdr:nvPicPr>
        <xdr:cNvPr id="57" name="Picture 56">
          <a:extLst>
            <a:ext uri="{FF2B5EF4-FFF2-40B4-BE49-F238E27FC236}">
              <a16:creationId xmlns:a16="http://schemas.microsoft.com/office/drawing/2014/main" id="{25932981-4FA1-7273-A6B5-5D7DBCDF7CD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15900" y="1143000"/>
          <a:ext cx="457200" cy="457200"/>
        </a:xfrm>
        <a:prstGeom prst="rect">
          <a:avLst/>
        </a:prstGeom>
      </xdr:spPr>
    </xdr:pic>
    <xdr:clientData/>
  </xdr:twoCellAnchor>
  <xdr:twoCellAnchor editAs="oneCell">
    <xdr:from>
      <xdr:col>1</xdr:col>
      <xdr:colOff>88901</xdr:colOff>
      <xdr:row>6</xdr:row>
      <xdr:rowOff>139701</xdr:rowOff>
    </xdr:from>
    <xdr:to>
      <xdr:col>2</xdr:col>
      <xdr:colOff>114544</xdr:colOff>
      <xdr:row>10</xdr:row>
      <xdr:rowOff>76200</xdr:rowOff>
    </xdr:to>
    <xdr:pic>
      <xdr:nvPicPr>
        <xdr:cNvPr id="59" name="Picture 58">
          <a:extLst>
            <a:ext uri="{FF2B5EF4-FFF2-40B4-BE49-F238E27FC236}">
              <a16:creationId xmlns:a16="http://schemas.microsoft.com/office/drawing/2014/main" id="{CD0AB7A8-463E-47D9-4B6F-AEFB92C29B8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209801" y="1206501"/>
          <a:ext cx="635243" cy="647699"/>
        </a:xfrm>
        <a:prstGeom prst="rect">
          <a:avLst/>
        </a:prstGeom>
      </xdr:spPr>
    </xdr:pic>
    <xdr:clientData/>
  </xdr:twoCellAnchor>
  <xdr:twoCellAnchor editAs="oneCell">
    <xdr:from>
      <xdr:col>19</xdr:col>
      <xdr:colOff>114300</xdr:colOff>
      <xdr:row>6</xdr:row>
      <xdr:rowOff>117022</xdr:rowOff>
    </xdr:from>
    <xdr:to>
      <xdr:col>19</xdr:col>
      <xdr:colOff>558800</xdr:colOff>
      <xdr:row>9</xdr:row>
      <xdr:rowOff>151052</xdr:rowOff>
    </xdr:to>
    <xdr:pic>
      <xdr:nvPicPr>
        <xdr:cNvPr id="63" name="Picture 62">
          <a:extLst>
            <a:ext uri="{FF2B5EF4-FFF2-40B4-BE49-F238E27FC236}">
              <a16:creationId xmlns:a16="http://schemas.microsoft.com/office/drawing/2014/main" id="{C510F2FC-9489-6506-B474-90E1A153FF5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3208000" y="1183822"/>
          <a:ext cx="444500" cy="567430"/>
        </a:xfrm>
        <a:prstGeom prst="rect">
          <a:avLst/>
        </a:prstGeom>
      </xdr:spPr>
    </xdr:pic>
    <xdr:clientData/>
  </xdr:twoCellAnchor>
  <xdr:twoCellAnchor>
    <xdr:from>
      <xdr:col>0</xdr:col>
      <xdr:colOff>482600</xdr:colOff>
      <xdr:row>6</xdr:row>
      <xdr:rowOff>50800</xdr:rowOff>
    </xdr:from>
    <xdr:to>
      <xdr:col>1</xdr:col>
      <xdr:colOff>101600</xdr:colOff>
      <xdr:row>9</xdr:row>
      <xdr:rowOff>76200</xdr:rowOff>
    </xdr:to>
    <xdr:sp macro="" textlink="">
      <xdr:nvSpPr>
        <xdr:cNvPr id="64" name="TextBox 63">
          <a:extLst>
            <a:ext uri="{FF2B5EF4-FFF2-40B4-BE49-F238E27FC236}">
              <a16:creationId xmlns:a16="http://schemas.microsoft.com/office/drawing/2014/main" id="{05A12D50-DA38-E543-50F7-E094EA7074C0}"/>
            </a:ext>
          </a:extLst>
        </xdr:cNvPr>
        <xdr:cNvSpPr txBox="1"/>
      </xdr:nvSpPr>
      <xdr:spPr>
        <a:xfrm>
          <a:off x="482600" y="1117600"/>
          <a:ext cx="1739900" cy="55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rPr>
            <a:t>World problems</a:t>
          </a:r>
        </a:p>
      </xdr:txBody>
    </xdr:sp>
    <xdr:clientData/>
  </xdr:twoCellAnchor>
  <xdr:twoCellAnchor>
    <xdr:from>
      <xdr:col>16</xdr:col>
      <xdr:colOff>355601</xdr:colOff>
      <xdr:row>12</xdr:row>
      <xdr:rowOff>114301</xdr:rowOff>
    </xdr:from>
    <xdr:to>
      <xdr:col>23</xdr:col>
      <xdr:colOff>317500</xdr:colOff>
      <xdr:row>24</xdr:row>
      <xdr:rowOff>133461</xdr:rowOff>
    </xdr:to>
    <xdr:sp macro="" textlink="">
      <xdr:nvSpPr>
        <xdr:cNvPr id="65" name="Rectangle 64">
          <a:extLst>
            <a:ext uri="{FF2B5EF4-FFF2-40B4-BE49-F238E27FC236}">
              <a16:creationId xmlns:a16="http://schemas.microsoft.com/office/drawing/2014/main" id="{FC7B4682-651C-498F-883A-F243327F3EFD}"/>
            </a:ext>
          </a:extLst>
        </xdr:cNvPr>
        <xdr:cNvSpPr/>
      </xdr:nvSpPr>
      <xdr:spPr>
        <a:xfrm>
          <a:off x="11620501" y="2247901"/>
          <a:ext cx="4229099" cy="2152760"/>
        </a:xfrm>
        <a:prstGeom prst="rect">
          <a:avLst/>
        </a:prstGeom>
        <a:solidFill>
          <a:schemeClr val="dk1">
            <a:alpha val="50000"/>
          </a:schemeClr>
        </a:solidFill>
        <a:ln>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317500</xdr:colOff>
      <xdr:row>12</xdr:row>
      <xdr:rowOff>76200</xdr:rowOff>
    </xdr:from>
    <xdr:to>
      <xdr:col>23</xdr:col>
      <xdr:colOff>215900</xdr:colOff>
      <xdr:row>24</xdr:row>
      <xdr:rowOff>152400</xdr:rowOff>
    </xdr:to>
    <xdr:graphicFrame macro="">
      <xdr:nvGraphicFramePr>
        <xdr:cNvPr id="67" name="Chart 66">
          <a:extLst>
            <a:ext uri="{FF2B5EF4-FFF2-40B4-BE49-F238E27FC236}">
              <a16:creationId xmlns:a16="http://schemas.microsoft.com/office/drawing/2014/main" id="{B272CE3F-90A3-4B09-AD8F-598F6DC47F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01.950186458336" createdVersion="8" refreshedVersion="8" minRefreshableVersion="3" recordCount="295" xr:uid="{A71802BD-57A3-40C8-AEC5-A9F9BF90FAF8}">
  <cacheSource type="worksheet">
    <worksheetSource name="life_expectancy"/>
  </cacheSource>
  <cacheFields count="17">
    <cacheField name="Country Name" numFmtId="0">
      <sharedItems count="27">
        <s v="Albania"/>
        <s v="Armenia"/>
        <s v="Azerbaijan"/>
        <s v="Central African Republic"/>
        <s v="Djibouti"/>
        <s v="Georgia"/>
        <s v="Ghana"/>
        <s v="India"/>
        <s v="Lesotho"/>
        <s v="Madagascar"/>
        <s v="Mali"/>
        <s v="Nepal"/>
        <s v="Senegal"/>
        <s v="Sierra Leone"/>
        <s v="Sao Tome and Principe"/>
        <s v="Chad"/>
        <s v="Togo"/>
        <s v="Tanzania"/>
        <s v="Bangladesh"/>
        <s v="Ethiopia"/>
        <s v="Mongolia"/>
        <s v="Samoa"/>
        <s v="Bolivia"/>
        <s v="Honduras"/>
        <s v="Malawi"/>
        <s v="Kiribati"/>
        <s v="Myanmar"/>
      </sharedItems>
    </cacheField>
    <cacheField name="Country Code" numFmtId="0">
      <sharedItems/>
    </cacheField>
    <cacheField name="Region" numFmtId="0">
      <sharedItems count="6">
        <s v="Europe &amp; Central Asia"/>
        <s v="Sub-Saharan Africa"/>
        <s v="Middle East &amp; North Africa"/>
        <s v="South Asia"/>
        <s v="East Asia &amp; Pacific"/>
        <s v="Latin America &amp; Caribbean"/>
      </sharedItems>
    </cacheField>
    <cacheField name="IncomeGroup" numFmtId="0">
      <sharedItems count="3">
        <s v="Upper middle income"/>
        <s v="Low income"/>
        <s v="Lower middle income"/>
      </sharedItems>
    </cacheField>
    <cacheField name="DATE" numFmtId="14">
      <sharedItems containsSemiMixedTypes="0" containsNonDate="0" containsDate="1" containsString="0" minDate="2005-01-01T00:00:00" maxDate="2019-01-02T00:00:00" count="15">
        <d v="2005-01-01T00:00:00"/>
        <d v="2006-01-01T00:00:00"/>
        <d v="2007-01-01T00:00:00"/>
        <d v="2008-01-01T00:00:00"/>
        <d v="2009-01-01T00:00:00"/>
        <d v="2010-01-01T00:00:00"/>
        <d v="2011-01-01T00:00:00"/>
        <d v="2012-01-01T00:00:00"/>
        <d v="2013-01-01T00:00:00"/>
        <d v="2014-01-01T00:00:00"/>
        <d v="2015-01-01T00:00:00"/>
        <d v="2016-01-01T00:00:00"/>
        <d v="2017-01-01T00:00:00"/>
        <d v="2018-01-01T00:00:00"/>
        <d v="2019-01-01T00:00:00"/>
      </sharedItems>
    </cacheField>
    <cacheField name="Year" numFmtId="0">
      <sharedItems containsSemiMixedTypes="0" containsString="0" containsNumber="1" containsInteger="1" minValue="2005" maxValue="2019"/>
    </cacheField>
    <cacheField name="Life Expectancy World Bank" numFmtId="0">
      <sharedItems containsSemiMixedTypes="0" containsString="0" containsNumber="1" minValue="42.594999999999999" maxValue="75.423000000000002" count="291">
        <n v="75.227999999999994"/>
        <n v="72.626000000000005"/>
        <n v="68.747"/>
        <n v="44.744"/>
        <n v="57.991"/>
        <n v="70.537999999999997"/>
        <n v="58.719000000000001"/>
        <n v="64.5"/>
        <n v="42.658000000000001"/>
        <n v="61.212000000000003"/>
        <n v="52.057000000000002"/>
        <n v="65.263999999999996"/>
        <n v="60.62"/>
        <n v="44.502000000000002"/>
        <n v="64.659000000000006"/>
        <n v="48.548999999999999"/>
        <n v="54.601999999999997"/>
        <n v="54.348999999999997"/>
        <n v="75.423000000000002"/>
        <n v="72.715999999999994"/>
        <n v="69.259"/>
        <n v="68.212999999999994"/>
        <n v="45.158000000000001"/>
        <n v="58.34"/>
        <n v="57.334000000000003"/>
        <n v="70.635000000000005"/>
        <n v="59.234000000000002"/>
        <n v="64.918000000000006"/>
        <n v="42.594999999999999"/>
        <n v="61.65"/>
        <n v="65.772999999999996"/>
        <n v="61.365000000000002"/>
        <n v="65.27"/>
        <n v="55.052"/>
        <n v="55.119"/>
        <n v="72.814999999999998"/>
        <n v="69.751999999999995"/>
        <n v="68.647999999999996"/>
        <n v="45.636000000000003"/>
        <n v="58.466999999999999"/>
        <n v="70.765000000000001"/>
        <n v="59.741"/>
        <n v="62.079000000000001"/>
        <n v="65.984999999999999"/>
        <n v="66.260000000000005"/>
        <n v="46.52"/>
        <n v="65.853999999999999"/>
        <n v="55.581000000000003"/>
        <n v="55.926000000000002"/>
        <n v="72.945999999999998"/>
        <n v="70.200999999999993"/>
        <n v="69.072000000000003"/>
        <n v="46.161000000000001"/>
        <n v="59.581000000000003"/>
        <n v="70.945999999999998"/>
        <n v="60.216000000000001"/>
        <n v="43.384"/>
        <n v="62.509"/>
        <n v="54.192999999999998"/>
        <n v="66.727000000000004"/>
        <n v="62.88"/>
        <n v="47.508000000000003"/>
        <n v="66.412000000000006"/>
        <n v="56.177999999999997"/>
        <n v="56.777000000000001"/>
        <n v="71.158000000000001"/>
        <n v="73.117999999999995"/>
        <n v="70.596999999999994"/>
        <n v="69.484999999999999"/>
        <n v="46.719000000000001"/>
        <n v="60.645000000000003"/>
        <n v="71.180000000000007"/>
        <n v="66.244"/>
        <n v="62.944000000000003"/>
        <n v="54.756"/>
        <n v="66.915999999999997"/>
        <n v="67.177999999999997"/>
        <n v="63.606999999999999"/>
        <n v="48.468000000000004"/>
        <n v="66.938000000000002"/>
        <n v="50.345999999999997"/>
        <n v="56.817999999999998"/>
        <n v="57.665999999999997"/>
        <n v="73.331000000000003"/>
        <n v="70.938000000000002"/>
        <n v="68.007000000000005"/>
        <n v="47.311999999999998"/>
        <n v="60.061999999999998"/>
        <n v="61.627000000000002"/>
        <n v="71.459999999999994"/>
        <n v="61.03"/>
        <n v="73.316999999999993"/>
        <n v="66.692999999999998"/>
        <n v="63.387999999999998"/>
        <n v="55.250999999999998"/>
        <n v="67.38"/>
        <n v="55.564"/>
        <n v="67.611000000000004"/>
        <n v="64.284000000000006"/>
        <n v="49.381999999999998"/>
        <n v="67.430000000000007"/>
        <n v="50.89"/>
        <n v="57.468000000000004"/>
        <n v="58.584000000000003"/>
        <n v="71.662999999999997"/>
        <n v="73.572000000000003"/>
        <n v="70.256"/>
        <n v="68.521000000000001"/>
        <n v="47.95"/>
        <n v="62.505000000000003"/>
        <n v="71.772999999999996"/>
        <n v="61.381"/>
        <n v="73.569000000000003"/>
        <n v="67.13"/>
        <n v="66.072000000000003"/>
        <n v="46.207000000000001"/>
        <n v="63.835999999999999"/>
        <n v="55.701000000000001"/>
        <n v="67.817999999999998"/>
        <n v="57.161000000000001"/>
        <n v="68.028000000000006"/>
        <n v="64.897999999999996"/>
        <n v="50.234000000000002"/>
        <n v="67.885000000000005"/>
        <n v="51.423999999999999"/>
        <n v="58.091999999999999"/>
        <n v="59.524999999999999"/>
        <n v="71.906000000000006"/>
        <n v="73.819999999999993"/>
        <n v="70.605999999999995"/>
        <n v="69.010000000000005"/>
        <n v="48.637999999999998"/>
        <n v="63.280999999999999"/>
        <n v="72.096999999999994"/>
        <n v="61.72"/>
        <n v="67.545000000000002"/>
        <n v="66.381"/>
        <n v="47.415999999999997"/>
        <n v="64.28"/>
        <n v="56.134999999999998"/>
        <n v="68.216999999999999"/>
        <n v="68.426000000000002"/>
        <n v="65.447999999999993"/>
        <n v="51.018000000000001"/>
        <n v="68.305999999999997"/>
        <n v="51.927999999999997"/>
        <n v="58.661000000000001"/>
        <n v="60.47"/>
        <n v="72.135999999999996"/>
        <n v="74.055999999999997"/>
        <n v="70.930000000000007"/>
        <n v="69.468000000000004"/>
        <n v="49.371000000000002"/>
        <n v="63.960999999999999"/>
        <n v="72.412000000000006"/>
        <n v="62.064"/>
        <n v="74.051000000000002"/>
        <n v="67.930999999999997"/>
        <n v="66.69"/>
        <n v="48.662999999999997"/>
        <n v="64.712999999999994"/>
        <n v="56.578000000000003"/>
        <n v="64.921000000000006"/>
        <n v="68.566000000000003"/>
        <n v="59.930999999999997"/>
        <n v="68.805999999999997"/>
        <n v="65.938999999999993"/>
        <n v="51.731000000000002"/>
        <n v="68.694999999999993"/>
        <n v="52.386000000000003"/>
        <n v="59.16"/>
        <n v="61.398000000000003"/>
        <n v="72.350999999999999"/>
        <n v="69.891000000000005"/>
        <n v="50.128999999999998"/>
        <n v="64.546999999999997"/>
        <n v="62.415999999999997"/>
        <n v="74.278000000000006"/>
        <n v="66.995000000000005"/>
        <n v="49.890999999999998"/>
        <n v="65.132999999999996"/>
        <n v="57.036000000000001"/>
        <n v="65.378"/>
        <n v="68.863"/>
        <n v="61.042000000000002"/>
        <n v="69.168000000000006"/>
        <n v="66.37"/>
        <n v="52.372"/>
        <n v="69.052000000000007"/>
        <n v="52.789000000000001"/>
        <n v="59.58"/>
        <n v="62.287999999999997"/>
        <n v="72.549000000000007"/>
        <n v="70.277000000000001"/>
        <n v="50.881"/>
        <n v="64.135999999999996"/>
        <n v="65.048000000000002"/>
        <n v="62.771999999999998"/>
        <n v="74.495000000000005"/>
        <n v="67.290999999999997"/>
        <n v="51.037999999999997"/>
        <n v="65.539000000000001"/>
        <n v="57.509"/>
        <n v="65.81"/>
        <n v="69.111000000000004"/>
        <n v="61.953000000000003"/>
        <n v="69.515000000000001"/>
        <n v="66.747"/>
        <n v="52.941000000000003"/>
        <n v="69.376999999999995"/>
        <n v="53.137"/>
        <n v="59.927"/>
        <n v="63.110999999999997"/>
        <n v="72.73"/>
        <n v="71.784999999999997"/>
        <n v="51.593000000000004"/>
        <n v="65.063999999999993"/>
        <n v="65.481999999999999"/>
        <n v="63.124000000000002"/>
        <n v="74.700999999999993"/>
        <n v="67.576999999999998"/>
        <n v="52.058999999999997"/>
        <n v="65.930999999999997"/>
        <n v="57.987000000000002"/>
        <n v="66.204999999999998"/>
        <n v="69.320999999999998"/>
        <n v="62.680999999999997"/>
        <n v="69.847999999999999"/>
        <n v="67.078000000000003"/>
        <n v="53.444000000000003"/>
        <n v="69.67"/>
        <n v="53.438000000000002"/>
        <n v="60.22"/>
        <n v="63.844000000000001"/>
        <n v="72.894999999999996"/>
        <n v="52.24"/>
        <n v="65.893000000000001"/>
        <n v="65.872"/>
        <n v="63.463000000000001"/>
        <n v="74.897999999999996"/>
        <n v="67.850999999999999"/>
        <n v="52.947000000000003"/>
        <n v="66.311000000000007"/>
        <n v="58.451999999999998"/>
        <n v="66.558000000000007"/>
        <n v="69.509"/>
        <n v="63.279000000000003"/>
        <n v="70.168999999999997"/>
        <n v="53.895000000000003"/>
        <n v="69.933000000000007"/>
        <n v="53.712000000000003"/>
        <n v="60.488999999999997"/>
        <n v="64.478999999999999"/>
        <n v="73.046000000000006"/>
        <n v="52.805"/>
        <n v="66.581999999999994"/>
        <n v="66.239999999999995"/>
        <n v="63.78"/>
        <n v="75.087999999999994"/>
        <n v="68.116"/>
        <n v="53.704999999999998"/>
        <n v="66.680999999999997"/>
        <n v="58.893000000000001"/>
        <n v="66.867000000000004"/>
        <n v="69.688999999999993"/>
        <n v="63.798000000000002"/>
        <n v="70.477999999999994"/>
        <n v="67.665000000000006"/>
        <n v="54.308999999999997"/>
        <n v="70.17"/>
        <n v="53.976999999999997"/>
        <n v="60.76"/>
        <n v="65.015000000000001"/>
        <n v="73.186999999999998"/>
        <n v="72.590999999999994"/>
        <n v="53.283000000000001"/>
        <n v="75.27"/>
        <n v="68.369"/>
        <n v="54.331000000000003"/>
        <n v="67.040999999999997"/>
        <n v="59.305999999999997"/>
        <n v="67.134"/>
        <n v="69.87"/>
        <n v="64.263000000000005"/>
        <n v="70.778000000000006"/>
        <n v="67.941000000000003"/>
        <n v="54.695999999999998"/>
        <n v="70.385000000000005"/>
        <n v="54.238999999999997"/>
        <n v="65.456000000000003"/>
        <n v="73.320999999999998"/>
      </sharedItems>
    </cacheField>
    <cacheField name="Prevelance of Undernourishment" numFmtId="0">
      <sharedItems containsSemiMixedTypes="0" containsString="0" containsNumber="1" minValue="2.5" maxValue="49.9"/>
    </cacheField>
    <cacheField name="CO2" numFmtId="0">
      <sharedItems containsSemiMixedTypes="0" containsString="0" containsNumber="1" minValue="50.000000745058102" maxValue="1972430.0537109401"/>
    </cacheField>
    <cacheField name="Health Expenditure %" numFmtId="0">
      <sharedItems containsSemiMixedTypes="0" containsString="0" containsNumber="1" minValue="1.93880892" maxValue="20.413414"/>
    </cacheField>
    <cacheField name="Education Expenditure %" numFmtId="0">
      <sharedItems containsSemiMixedTypes="0" containsString="0" containsNumber="1" minValue="1.1079200506210301" maxValue="13.3843803405762"/>
    </cacheField>
    <cacheField name="Unemployment" numFmtId="0">
      <sharedItems containsString="0" containsBlank="1" containsNumber="1" minValue="0.5" maxValue="31.309999465942401"/>
    </cacheField>
    <cacheField name="Corruption" numFmtId="0">
      <sharedItems/>
    </cacheField>
    <cacheField name="Sanitation" numFmtId="0">
      <sharedItems containsSemiMixedTypes="0" containsString="0" containsNumber="1" minValue="3.5887006509999999" maxValue="60.979430739999998"/>
    </cacheField>
    <cacheField name="Injuries" numFmtId="0">
      <sharedItems containsSemiMixedTypes="0" containsString="0" containsNumber="1" minValue="3303.5" maxValue="55636759.299999997"/>
    </cacheField>
    <cacheField name="Communicable" numFmtId="0">
      <sharedItems containsSemiMixedTypes="0" containsString="0" containsNumber="1" minValue="8627.32" maxValue="245719584.30000001" count="295">
        <n v="99241.18"/>
        <n v="105444.38"/>
        <n v="826520.96"/>
        <n v="3766393.86"/>
        <n v="310769.59000000003"/>
        <n v="163212.97"/>
        <n v="8669563.5500000007"/>
        <n v="245719584.30000001"/>
        <n v="1587788.28"/>
        <n v="7259330.4299999997"/>
        <n v="10106599.710000001"/>
        <n v="5289678.7699999996"/>
        <n v="4130506.23"/>
        <n v="4215134.3600000003"/>
        <n v="35858.699999999997"/>
        <n v="8179869"/>
        <n v="2931127.4"/>
        <n v="21557410.370000001"/>
        <n v="90917.84"/>
        <n v="104959.6"/>
        <n v="797478.5"/>
        <n v="22969983.93"/>
        <n v="3740319.7"/>
        <n v="310926.56"/>
        <n v="39064031.859999999"/>
        <n v="151701.12"/>
        <n v="8693272.7400000002"/>
        <n v="239547398.80000001"/>
        <n v="1552646.71"/>
        <n v="7230205.0199999996"/>
        <n v="5030978.7"/>
        <n v="4042473.64"/>
        <n v="31177.03"/>
        <n v="2927679.32"/>
        <n v="20873666.829999998"/>
        <n v="98901.2"/>
        <n v="761497.67"/>
        <n v="21540422.899999999"/>
        <n v="3726123.03"/>
        <n v="308370.02"/>
        <n v="36988493.049999997"/>
        <n v="145433.15"/>
        <n v="8672212.3100000005"/>
        <n v="7184699.4299999997"/>
        <n v="236644"/>
        <n v="4816573.83"/>
        <n v="4128718.05"/>
        <n v="28289.040000000001"/>
        <n v="2938443.97"/>
        <n v="19961897.5"/>
        <n v="97242.98"/>
        <n v="740106.62"/>
        <n v="20461453.34"/>
        <n v="3686621.06"/>
        <n v="35060164.259999998"/>
        <n v="142683.38"/>
        <n v="8607128.9700000007"/>
        <n v="1360606.55"/>
        <n v="7115964.6399999997"/>
        <n v="10183254.810000001"/>
        <n v="4585507.04"/>
        <n v="3768005.67"/>
        <n v="4095875.88"/>
        <n v="27718.05"/>
        <n v="2915004.77"/>
        <n v="19265916.120000001"/>
        <n v="8678.4500000000007"/>
        <n v="94419.59"/>
        <n v="718762.42"/>
        <n v="19197079.73"/>
        <n v="3649902.63"/>
        <n v="33446873.579999998"/>
        <n v="138845.93"/>
        <n v="8504992.6600000001"/>
        <n v="217642490.30000001"/>
        <n v="7098257.2599999998"/>
        <n v="10192848.16"/>
        <n v="231302.13"/>
        <n v="4368416.5599999996"/>
        <n v="3653873.89"/>
        <n v="4016372.81"/>
        <n v="25773.81"/>
        <n v="8264334"/>
        <n v="2848275.56"/>
        <n v="18661267.73"/>
        <n v="91218.33"/>
        <n v="704355.35"/>
        <n v="1235114.31"/>
        <n v="3632631.56"/>
        <n v="307613.45"/>
        <n v="31853490.969999999"/>
        <n v="131901.06"/>
        <n v="8350244.9699999997"/>
        <n v="505166.42"/>
        <n v="210484107.40000001"/>
        <n v="7090977.0599999996"/>
        <n v="10248188.83"/>
        <n v="229006.07"/>
        <n v="7074948.6900000004"/>
        <n v="4140126.84"/>
        <n v="3716347.24"/>
        <n v="3911711.83"/>
        <n v="23395.06"/>
        <n v="8262666.8799999999"/>
        <n v="2765905.69"/>
        <n v="18104420.09"/>
        <n v="8627.32"/>
        <n v="88024.47"/>
        <n v="17357602.039999999"/>
        <n v="1217027.1100000001"/>
        <n v="3600491.46"/>
        <n v="30193812.969999999"/>
        <n v="126577.49"/>
        <n v="8061889.1100000003"/>
        <n v="491783.46"/>
        <n v="204096428.19999999"/>
        <n v="18153.490000000002"/>
        <n v="1215897.94"/>
        <n v="7002948.0999999996"/>
        <n v="10277501.220000001"/>
        <n v="225564.87"/>
        <n v="6554340.4800000004"/>
        <n v="3941513.66"/>
        <n v="3621193.52"/>
        <n v="3819282.92"/>
        <n v="23856.95"/>
        <n v="8347816.1900000004"/>
        <n v="2681025.2200000002"/>
        <n v="17588670.859999999"/>
        <n v="8637.94"/>
        <n v="83418.320000000007"/>
        <n v="16307103.640000001"/>
        <n v="1199665.22"/>
        <n v="3538256.66"/>
        <n v="28896006.079999998"/>
        <n v="123804.5"/>
        <n v="7806557.5899999999"/>
        <n v="195404051.69999999"/>
        <n v="18040.54"/>
        <n v="1241929.83"/>
        <n v="6906885.9100000001"/>
        <n v="10357571.279999999"/>
        <n v="221033.83"/>
        <n v="3739562.67"/>
        <n v="3579299.05"/>
        <n v="3717277.13"/>
        <n v="24466.1"/>
        <n v="8341857.3700000001"/>
        <n v="2624143.0299999998"/>
        <n v="16794202.079999998"/>
        <n v="8680.42"/>
        <n v="79985.070000000007"/>
        <n v="15514496.01"/>
        <n v="1188492.0900000001"/>
        <n v="3487458.4"/>
        <n v="27856067.800000001"/>
        <n v="117587.8"/>
        <n v="7640207.1600000001"/>
        <n v="471844.65"/>
        <n v="187804148.69999999"/>
        <n v="17765.39"/>
        <n v="1252935.18"/>
        <n v="6833119.9800000004"/>
        <n v="10595151"/>
        <n v="7240966.7000000002"/>
        <n v="215230.16"/>
        <n v="5709964.0300000003"/>
        <n v="3538986.78"/>
        <n v="3473914.77"/>
        <n v="3559689.4"/>
        <n v="23236.75"/>
        <n v="8348645.1200000001"/>
        <n v="2568922.36"/>
        <n v="15987629.6"/>
        <n v="8715.34"/>
        <n v="1174510.1399999999"/>
        <n v="3412716.46"/>
        <n v="26644753.5"/>
        <n v="7454029.4900000002"/>
        <n v="462392.77"/>
        <n v="17595.45"/>
        <n v="1255235.49"/>
        <n v="6703446.7000000002"/>
        <n v="10693305.91"/>
        <n v="6725248.7999999998"/>
        <n v="206045.66"/>
        <n v="5453776.3600000003"/>
        <n v="3377955.5"/>
        <n v="3317058.41"/>
        <n v="3730231.5"/>
        <n v="20123.09"/>
        <n v="8362977.3099999996"/>
        <n v="2488549.27"/>
        <n v="15573574"/>
        <n v="8774.2000000000007"/>
        <n v="1145952.8999999999"/>
        <n v="3311386.42"/>
        <n v="281206.34999999998"/>
        <n v="25713232.620000001"/>
        <n v="7313162.8899999997"/>
        <n v="455716.08"/>
        <n v="17315.259999999998"/>
        <n v="1220944.95"/>
        <n v="6588260.75"/>
        <n v="10713095.470000001"/>
        <n v="6326942.9199999999"/>
        <n v="188603.91"/>
        <n v="5286826.68"/>
        <n v="3235798.89"/>
        <n v="3264833.98"/>
        <n v="3511791.97"/>
        <n v="19209.21"/>
        <n v="8317417.0599999996"/>
        <n v="2405029.12"/>
        <n v="15042934.66"/>
        <n v="8806.61"/>
        <n v="13504962.58"/>
        <n v="3228300.21"/>
        <n v="272081.02"/>
        <n v="24764043.940000001"/>
        <n v="7111442.2199999997"/>
        <n v="448708.47"/>
        <n v="16972.63"/>
        <n v="1145360.6299999999"/>
        <n v="6469074.71"/>
        <n v="10541209.83"/>
        <n v="5884063.5700000003"/>
        <n v="179891.78"/>
        <n v="5189008.6900000004"/>
        <n v="3091083.68"/>
        <n v="3175625.12"/>
        <n v="3307688.86"/>
        <n v="18418.71"/>
        <n v="8354586.2300000004"/>
        <n v="2294813.98"/>
        <n v="14726558.92"/>
        <n v="8838.61"/>
        <n v="3141782.06"/>
        <n v="261281.81"/>
        <n v="23661556.530000001"/>
        <n v="6911805.6799999997"/>
        <n v="440876.25"/>
        <n v="16588.61"/>
        <n v="1074969.92"/>
        <n v="6324134.1699999999"/>
        <n v="10455713.77"/>
        <n v="5517990.29"/>
        <n v="174769.06"/>
        <n v="4948217.6399999997"/>
        <n v="2954273.69"/>
        <n v="3144770.08"/>
        <n v="3212165.46"/>
        <n v="17406.41"/>
        <n v="8435895.8399999999"/>
        <n v="2173030.66"/>
        <n v="14333067.67"/>
        <n v="8848.15"/>
        <n v="3068867.31"/>
        <n v="250590.33"/>
        <n v="22770405.219999999"/>
        <n v="6647801.5899999999"/>
        <n v="434515.72"/>
        <n v="16230.91"/>
        <n v="1037925.42"/>
        <n v="6206243.9100000001"/>
        <n v="10432991.119999999"/>
        <n v="5230015.4800000004"/>
        <n v="168161.18"/>
        <n v="4705368.8899999997"/>
        <n v="2828672.94"/>
        <n v="3019433.1"/>
        <n v="3111854.64"/>
        <n v="16675.36"/>
        <n v="8464996.5099999998"/>
        <n v="2072528.42"/>
        <n v="13717505.82"/>
        <n v="8783.2099999999991"/>
        <n v="11672523.039999999"/>
        <n v="3014630.66"/>
        <n v="437975.24"/>
        <n v="15933.83"/>
        <n v="1023104.35"/>
        <n v="6084479.0700000003"/>
        <n v="10446688.279999999"/>
        <n v="4993210.91"/>
        <n v="161261.57"/>
        <n v="4566247.6900000004"/>
        <n v="2714999.74"/>
        <n v="2919710.61"/>
        <n v="3050253.71"/>
        <n v="16170.29"/>
        <n v="8496915.8300000001"/>
        <n v="1992666.23"/>
        <n v="13341065.720000001"/>
        <n v="9095.19"/>
      </sharedItems>
    </cacheField>
    <cacheField name="NonCommunicable" numFmtId="0">
      <sharedItems containsSemiMixedTypes="0" containsString="0" containsNumber="1" minValue="24876.27" maxValue="242690488.59999999"/>
    </cacheField>
  </cacheFields>
  <extLst>
    <ext xmlns:x14="http://schemas.microsoft.com/office/spreadsheetml/2009/9/main" uri="{725AE2AE-9491-48be-B2B4-4EB974FC3084}">
      <x14:pivotCacheDefinition pivotCacheId="2639588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5">
  <r>
    <x v="0"/>
    <s v="ALB"/>
    <x v="0"/>
    <x v="0"/>
    <x v="0"/>
    <n v="2005"/>
    <x v="0"/>
    <n v="8.9"/>
    <n v="4030.0002098083501"/>
    <n v="6.3355417300000001"/>
    <n v="3.2815499305725102"/>
    <n v="15.9700002670288"/>
    <s v="3.0"/>
    <n v="41.875655020000004"/>
    <n v="94241.87"/>
    <x v="0"/>
    <n v="568930.66"/>
  </r>
  <r>
    <x v="1"/>
    <s v="ARM"/>
    <x v="0"/>
    <x v="0"/>
    <x v="0"/>
    <n v="2005"/>
    <x v="1"/>
    <n v="12.3"/>
    <n v="4460.0000381469699"/>
    <n v="5.8618826899999998"/>
    <n v="2.7120299339294398"/>
    <n v="10.203000068664601"/>
    <s v="2.5"/>
    <n v="46.657124529999997"/>
    <n v="92659.79"/>
    <x v="1"/>
    <n v="793047.77"/>
  </r>
  <r>
    <x v="2"/>
    <s v="AZE"/>
    <x v="0"/>
    <x v="0"/>
    <x v="0"/>
    <n v="2005"/>
    <x v="2"/>
    <n v="4.8"/>
    <n v="30040.0009155273"/>
    <n v="2.2610766899999999"/>
    <n v="2.97462010383606"/>
    <n v="7.2600002288818404"/>
    <s v="2.5"/>
    <n v="23.121007880000001"/>
    <n v="240229.35"/>
    <x v="2"/>
    <n v="2003781.9"/>
  </r>
  <r>
    <x v="3"/>
    <s v="CAF"/>
    <x v="1"/>
    <x v="1"/>
    <x v="0"/>
    <n v="2005"/>
    <x v="3"/>
    <n v="39.6"/>
    <n v="219.99999880790699"/>
    <n v="4.3673214900000001"/>
    <n v="1.6522200107574501"/>
    <n v="5.6950001716613796"/>
    <s v="2.5"/>
    <n v="19.090005260000002"/>
    <n v="310132.64"/>
    <x v="3"/>
    <n v="805165.65"/>
  </r>
  <r>
    <x v="4"/>
    <s v="DJI"/>
    <x v="2"/>
    <x v="2"/>
    <x v="0"/>
    <n v="2005"/>
    <x v="4"/>
    <n v="31.3"/>
    <n v="430.00000715255698"/>
    <n v="3.2246723199999998"/>
    <n v="8.3658895492553693"/>
    <n v="27.719999313354499"/>
    <s v="2.5"/>
    <n v="25.705269189999999"/>
    <n v="28409.67"/>
    <x v="4"/>
    <n v="115615.6"/>
  </r>
  <r>
    <x v="5"/>
    <s v="GEO"/>
    <x v="0"/>
    <x v="0"/>
    <x v="0"/>
    <n v="2005"/>
    <x v="5"/>
    <n v="4.0999999999999996"/>
    <n v="4239.9997711181604"/>
    <n v="8.0773410800000001"/>
    <n v="2.4843199253082302"/>
    <n v="13.810000419616699"/>
    <s v="3.5"/>
    <n v="44.428918109999998"/>
    <n v="140712.60999999999"/>
    <x v="5"/>
    <n v="1404204.32"/>
  </r>
  <r>
    <x v="6"/>
    <s v="GHA"/>
    <x v="1"/>
    <x v="2"/>
    <x v="0"/>
    <n v="2005"/>
    <x v="6"/>
    <n v="11.2"/>
    <n v="7039.9999618530301"/>
    <n v="3.6426563299999999"/>
    <n v="7.42208003997803"/>
    <n v="5.6189999580383301"/>
    <s v="3.5"/>
    <n v="6.2781861589999997"/>
    <n v="689437.77"/>
    <x v="6"/>
    <n v="3585007.12"/>
  </r>
  <r>
    <x v="7"/>
    <s v="IND"/>
    <x v="3"/>
    <x v="2"/>
    <x v="0"/>
    <n v="2005"/>
    <x v="7"/>
    <n v="21.6"/>
    <n v="1136469.9707031299"/>
    <n v="3.7911624900000001"/>
    <n v="3.1887500286102299"/>
    <n v="5.6129999160766602"/>
    <s v="3.5"/>
    <n v="15.321117599999999"/>
    <n v="53131679.509999998"/>
    <x v="7"/>
    <n v="202654074.69999999"/>
  </r>
  <r>
    <x v="8"/>
    <s v="LSO"/>
    <x v="1"/>
    <x v="2"/>
    <x v="0"/>
    <n v="2005"/>
    <x v="8"/>
    <n v="13.7"/>
    <n v="430.00000715255698"/>
    <n v="5.4492669100000004"/>
    <n v="12.0796604156494"/>
    <n v="31.309999465942401"/>
    <s v="3.5"/>
    <n v="18.129543160000001"/>
    <n v="150238.57999999999"/>
    <x v="8"/>
    <n v="397447.7"/>
  </r>
  <r>
    <x v="9"/>
    <s v="MDG"/>
    <x v="1"/>
    <x v="1"/>
    <x v="0"/>
    <n v="2005"/>
    <x v="9"/>
    <n v="33.4"/>
    <n v="1710.0000381469699"/>
    <n v="5.2026195499999996"/>
    <n v="3.3096399307250999"/>
    <n v="2.6199998855590798"/>
    <s v="3.5"/>
    <n v="5.267388146"/>
    <n v="501460.34"/>
    <x v="9"/>
    <n v="2955506.1"/>
  </r>
  <r>
    <x v="10"/>
    <s v="MLI"/>
    <x v="1"/>
    <x v="1"/>
    <x v="0"/>
    <n v="2005"/>
    <x v="10"/>
    <n v="13.3"/>
    <n v="1649.99997615814"/>
    <n v="5.1951570499999997"/>
    <n v="3.5221800804138201"/>
    <n v="9.6890001296997106"/>
    <s v="3.5"/>
    <n v="9.3988921239999996"/>
    <n v="559210.25"/>
    <x v="10"/>
    <n v="2255837.98"/>
  </r>
  <r>
    <x v="11"/>
    <s v="NPL"/>
    <x v="3"/>
    <x v="2"/>
    <x v="0"/>
    <n v="2005"/>
    <x v="11"/>
    <n v="16.8"/>
    <n v="3190.0000572204599"/>
    <n v="3.9422106700000001"/>
    <n v="3.3646399974822998"/>
    <n v="1.4579999446868901"/>
    <s v="2.5"/>
    <n v="17.841960369999999"/>
    <n v="915172.53"/>
    <x v="11"/>
    <n v="4161870.95"/>
  </r>
  <r>
    <x v="12"/>
    <s v="SEN"/>
    <x v="1"/>
    <x v="2"/>
    <x v="0"/>
    <n v="2005"/>
    <x v="12"/>
    <n v="18.100000000000001"/>
    <n v="5670.0000762939499"/>
    <n v="3.6746616400000001"/>
    <n v="4.0644302368164098"/>
    <n v="8.8959999084472692"/>
    <s v="3.0"/>
    <n v="15.68024181"/>
    <n v="322491.07"/>
    <x v="12"/>
    <n v="1764214.15"/>
  </r>
  <r>
    <x v="13"/>
    <s v="SLE"/>
    <x v="1"/>
    <x v="1"/>
    <x v="0"/>
    <n v="2005"/>
    <x v="13"/>
    <n v="46.7"/>
    <n v="449.99998807907099"/>
    <n v="11.037729260000001"/>
    <n v="2.7969799041747998"/>
    <n v="3.5469999313354501"/>
    <s v="2.5"/>
    <n v="10.06994828"/>
    <n v="253447.1"/>
    <x v="13"/>
    <n v="1081435.51"/>
  </r>
  <r>
    <x v="14"/>
    <s v="STP"/>
    <x v="1"/>
    <x v="2"/>
    <x v="0"/>
    <n v="2005"/>
    <x v="14"/>
    <n v="9"/>
    <n v="79.999998211860699"/>
    <n v="11.51630402"/>
    <n v="4.8564500808715803"/>
    <n v="16.469999313354499"/>
    <s v="3.5"/>
    <n v="18.072296489999999"/>
    <n v="3303.5"/>
    <x v="14"/>
    <n v="24876.27"/>
  </r>
  <r>
    <x v="15"/>
    <s v="TCD"/>
    <x v="1"/>
    <x v="1"/>
    <x v="0"/>
    <n v="2005"/>
    <x v="15"/>
    <n v="37.799999999999997"/>
    <n v="479.999989271164"/>
    <n v="4.8411140399999999"/>
    <n v="1.69476997852325"/>
    <n v="0.87199997901916504"/>
    <s v="2.0"/>
    <n v="8.7127216220000001"/>
    <n v="461705.69"/>
    <x v="15"/>
    <n v="1633792.09"/>
  </r>
  <r>
    <x v="16"/>
    <s v="TGO"/>
    <x v="1"/>
    <x v="1"/>
    <x v="0"/>
    <n v="2005"/>
    <x v="16"/>
    <n v="27.7"/>
    <n v="1750"/>
    <n v="3.3024344399999999"/>
    <n v="3.15978002548218"/>
    <n v="4.21799993515015"/>
    <s v="2.0"/>
    <n v="6.4454334329999998"/>
    <n v="237367.78"/>
    <x v="16"/>
    <n v="838432.01"/>
  </r>
  <r>
    <x v="17"/>
    <s v="TZA"/>
    <x v="1"/>
    <x v="2"/>
    <x v="0"/>
    <n v="2005"/>
    <x v="17"/>
    <n v="28.4"/>
    <n v="5659.9998474121103"/>
    <n v="6.3228259099999997"/>
    <n v="3.5462501049041699"/>
    <n v="3.2260000705718999"/>
    <s v="3.5"/>
    <n v="10.88696901"/>
    <n v="1180760.48"/>
    <x v="17"/>
    <n v="6227868.6200000001"/>
  </r>
  <r>
    <x v="0"/>
    <s v="ALB"/>
    <x v="0"/>
    <x v="0"/>
    <x v="1"/>
    <n v="2006"/>
    <x v="18"/>
    <n v="8.8000000000000007"/>
    <n v="4010.00022888184"/>
    <n v="6.0092773399999997"/>
    <n v="3.1914598941803001"/>
    <n v="15.6300001144409"/>
    <s v="2.5"/>
    <n v="42.391211730000002"/>
    <n v="89182.27"/>
    <x v="18"/>
    <n v="557300.82999999996"/>
  </r>
  <r>
    <x v="1"/>
    <s v="ARM"/>
    <x v="0"/>
    <x v="0"/>
    <x v="1"/>
    <n v="2006"/>
    <x v="19"/>
    <n v="9.3000000000000007"/>
    <n v="4489.9997711181604"/>
    <n v="5.8500709500000001"/>
    <n v="2.71577000617981"/>
    <n v="9.9969997406005895"/>
    <s v="3.5"/>
    <n v="48.09726053"/>
    <n v="93356.64"/>
    <x v="19"/>
    <n v="802931.28"/>
  </r>
  <r>
    <x v="2"/>
    <s v="AZE"/>
    <x v="0"/>
    <x v="0"/>
    <x v="1"/>
    <n v="2006"/>
    <x v="20"/>
    <n v="2.8"/>
    <n v="30489.9997711182"/>
    <n v="2.0667839099999998"/>
    <n v="2.55552005767822"/>
    <n v="6.6199998855590803"/>
    <s v="2.5"/>
    <n v="23.68295256"/>
    <n v="235261.82"/>
    <x v="20"/>
    <n v="2025824.48"/>
  </r>
  <r>
    <x v="18"/>
    <s v="BGD"/>
    <x v="3"/>
    <x v="2"/>
    <x v="1"/>
    <n v="2006"/>
    <x v="21"/>
    <n v="13.8"/>
    <n v="35900.001525878899"/>
    <n v="2.4843962199999998"/>
    <n v="2.1312899589538601"/>
    <n v="3.5899999141693102"/>
    <s v="2.5"/>
    <n v="24.147876369999999"/>
    <n v="4365189.5"/>
    <x v="21"/>
    <n v="22933766.579999998"/>
  </r>
  <r>
    <x v="3"/>
    <s v="CAF"/>
    <x v="1"/>
    <x v="1"/>
    <x v="1"/>
    <n v="2006"/>
    <x v="22"/>
    <n v="37.700000000000003"/>
    <n v="230.00000417232499"/>
    <n v="4.44105434"/>
    <n v="1.41506004333496"/>
    <n v="5.6589999198913601"/>
    <s v="2.5"/>
    <n v="18.69190459"/>
    <n v="341076.46"/>
    <x v="22"/>
    <n v="827671.85"/>
  </r>
  <r>
    <x v="4"/>
    <s v="DJI"/>
    <x v="2"/>
    <x v="2"/>
    <x v="1"/>
    <n v="2006"/>
    <x v="23"/>
    <n v="27.3"/>
    <n v="430.00000715255698"/>
    <n v="3.4842681899999999"/>
    <n v="8.2787799835205096"/>
    <n v="27.573999404907202"/>
    <s v="2.5"/>
    <n v="26.52365326"/>
    <n v="36199.47"/>
    <x v="23"/>
    <n v="119405.57"/>
  </r>
  <r>
    <x v="19"/>
    <s v="ETH"/>
    <x v="1"/>
    <x v="1"/>
    <x v="1"/>
    <n v="2006"/>
    <x v="24"/>
    <n v="35.6"/>
    <n v="5400.0000953674298"/>
    <n v="4.4575729400000004"/>
    <n v="5.4909601211547896"/>
    <n v="2.4700000286102299"/>
    <s v="2.5"/>
    <n v="3.5887006509999999"/>
    <n v="3121041.71"/>
    <x v="24"/>
    <n v="11025848.300000001"/>
  </r>
  <r>
    <x v="5"/>
    <s v="GEO"/>
    <x v="0"/>
    <x v="0"/>
    <x v="1"/>
    <n v="2006"/>
    <x v="25"/>
    <n v="4"/>
    <n v="4699.9998092651404"/>
    <n v="7.6320805500000004"/>
    <n v="3.0036499500274698"/>
    <n v="13.569999694824199"/>
    <s v="3.5"/>
    <n v="43.718999949999997"/>
    <n v="141156.10999999999"/>
    <x v="25"/>
    <n v="1374178.72"/>
  </r>
  <r>
    <x v="6"/>
    <s v="GHA"/>
    <x v="1"/>
    <x v="2"/>
    <x v="1"/>
    <n v="2006"/>
    <x v="26"/>
    <n v="10.6"/>
    <n v="8510.0002288818396"/>
    <n v="3.6829619400000002"/>
    <n v="5.2598299980163601"/>
    <n v="4.6399998664856001"/>
    <s v="4.0"/>
    <n v="6.7474719710000004"/>
    <n v="709612.71"/>
    <x v="26"/>
    <n v="3679326.51"/>
  </r>
  <r>
    <x v="7"/>
    <s v="IND"/>
    <x v="3"/>
    <x v="2"/>
    <x v="1"/>
    <n v="2006"/>
    <x v="27"/>
    <n v="19.600000000000001"/>
    <n v="1215209.9609375"/>
    <n v="3.6347780200000002"/>
    <n v="3.1428499221801802"/>
    <n v="5.6009998321533203"/>
    <s v="3.5"/>
    <n v="17.270388350000001"/>
    <n v="53697866.829999998"/>
    <x v="27"/>
    <n v="208840060.09999999"/>
  </r>
  <r>
    <x v="8"/>
    <s v="LSO"/>
    <x v="1"/>
    <x v="2"/>
    <x v="1"/>
    <n v="2006"/>
    <x v="28"/>
    <n v="12.8"/>
    <n v="430.00000715255698"/>
    <n v="6.1196641899999999"/>
    <n v="11.2712802886963"/>
    <n v="30.461999893188501"/>
    <s v="3.5"/>
    <n v="20.271413580000001"/>
    <n v="152329.04"/>
    <x v="28"/>
    <n v="400777.15"/>
  </r>
  <r>
    <x v="9"/>
    <s v="MDG"/>
    <x v="1"/>
    <x v="1"/>
    <x v="1"/>
    <n v="2006"/>
    <x v="29"/>
    <n v="31"/>
    <n v="1639.99998569489"/>
    <n v="5.0762758300000002"/>
    <n v="2.8309700489044198"/>
    <n v="2.9389998912811302"/>
    <s v="3.5"/>
    <n v="5.6278276930000004"/>
    <n v="495679.31"/>
    <x v="29"/>
    <n v="2996523.06"/>
  </r>
  <r>
    <x v="11"/>
    <s v="NPL"/>
    <x v="3"/>
    <x v="2"/>
    <x v="1"/>
    <n v="2006"/>
    <x v="30"/>
    <n v="15.9"/>
    <n v="2619.9998855590802"/>
    <n v="3.5361804999999999"/>
    <n v="3.6053600311279301"/>
    <n v="1.39300000667572"/>
    <s v="3.0"/>
    <n v="19.566140709999999"/>
    <n v="866979.25"/>
    <x v="30"/>
    <n v="4266131.01"/>
  </r>
  <r>
    <x v="12"/>
    <s v="SEN"/>
    <x v="1"/>
    <x v="2"/>
    <x v="1"/>
    <n v="2006"/>
    <x v="31"/>
    <n v="16.5"/>
    <n v="5570.0001716613797"/>
    <n v="3.7633771899999999"/>
    <n v="3.8213798999786399"/>
    <n v="10.0299997329712"/>
    <s v="3.0"/>
    <n v="16.023639230000001"/>
    <n v="326343.55"/>
    <x v="31"/>
    <n v="1771215.51"/>
  </r>
  <r>
    <x v="14"/>
    <s v="STP"/>
    <x v="1"/>
    <x v="2"/>
    <x v="1"/>
    <n v="2006"/>
    <x v="32"/>
    <n v="9"/>
    <n v="79.999998211860699"/>
    <n v="8.2767076500000005"/>
    <n v="4.27118015289307"/>
    <n v="16.649999618530298"/>
    <s v="3.5"/>
    <n v="19.142454170000001"/>
    <n v="3832.71"/>
    <x v="32"/>
    <n v="26649.59"/>
  </r>
  <r>
    <x v="16"/>
    <s v="TGO"/>
    <x v="1"/>
    <x v="1"/>
    <x v="1"/>
    <n v="2006"/>
    <x v="33"/>
    <n v="27.2"/>
    <n v="1570.0000524520899"/>
    <n v="3.4460403899999998"/>
    <n v="3.4350099563598602"/>
    <n v="4.2300000190734899"/>
    <s v="2.0"/>
    <n v="6.6250220510000002"/>
    <n v="205678.3"/>
    <x v="33"/>
    <n v="858423.74"/>
  </r>
  <r>
    <x v="17"/>
    <s v="TZA"/>
    <x v="1"/>
    <x v="2"/>
    <x v="1"/>
    <n v="2006"/>
    <x v="34"/>
    <n v="25.9"/>
    <n v="6050.0001907348596"/>
    <n v="7.5982799500000002"/>
    <n v="3.00991988182068"/>
    <n v="3.2999999523162802"/>
    <s v="3.5"/>
    <n v="12.14439713"/>
    <n v="1236697.2"/>
    <x v="34"/>
    <n v="6456703.8499999996"/>
  </r>
  <r>
    <x v="1"/>
    <s v="ARM"/>
    <x v="0"/>
    <x v="0"/>
    <x v="2"/>
    <n v="2007"/>
    <x v="35"/>
    <n v="6.9"/>
    <n v="5199.9998092651404"/>
    <n v="5.4981455800000001"/>
    <n v="3.0189399719238299"/>
    <n v="9.8100004196166992"/>
    <s v="3.5"/>
    <n v="49.522079050000002"/>
    <n v="92994.89"/>
    <x v="35"/>
    <n v="796328.81"/>
  </r>
  <r>
    <x v="2"/>
    <s v="AZE"/>
    <x v="0"/>
    <x v="0"/>
    <x v="2"/>
    <n v="2007"/>
    <x v="36"/>
    <n v="2.5"/>
    <n v="27629.999160766602"/>
    <n v="1.99021435"/>
    <n v="2.5492799282074001"/>
    <n v="6.3299999237060502"/>
    <s v="2.5"/>
    <n v="24.186734449999999"/>
    <n v="236193.72"/>
    <x v="36"/>
    <n v="2039977.68"/>
  </r>
  <r>
    <x v="18"/>
    <s v="BGD"/>
    <x v="3"/>
    <x v="2"/>
    <x v="2"/>
    <n v="2007"/>
    <x v="37"/>
    <n v="13.9"/>
    <n v="37990.001678466797"/>
    <n v="2.5589778399999998"/>
    <n v="2.20221996307373"/>
    <n v="4.1269998550415004"/>
    <s v="3.0"/>
    <n v="25.221247170000002"/>
    <n v="4686057.82"/>
    <x v="37"/>
    <n v="23370455.66"/>
  </r>
  <r>
    <x v="3"/>
    <s v="CAF"/>
    <x v="1"/>
    <x v="1"/>
    <x v="2"/>
    <n v="2007"/>
    <x v="38"/>
    <n v="35.700000000000003"/>
    <n v="239.999994635582"/>
    <n v="4.7185154000000002"/>
    <n v="1.31332004070282"/>
    <n v="5.6059999465942401"/>
    <s v="2.5"/>
    <n v="18.29993339"/>
    <n v="349759.6"/>
    <x v="38"/>
    <n v="843435.05"/>
  </r>
  <r>
    <x v="4"/>
    <s v="DJI"/>
    <x v="2"/>
    <x v="2"/>
    <x v="2"/>
    <n v="2007"/>
    <x v="6"/>
    <n v="25.1"/>
    <n v="469.99999880790699"/>
    <n v="3.4149863699999998"/>
    <n v="8.40625"/>
    <n v="27.4440002441406"/>
    <s v="2.5"/>
    <n v="27.339667210000002"/>
    <n v="30021.41"/>
    <x v="39"/>
    <n v="124591.38"/>
  </r>
  <r>
    <x v="19"/>
    <s v="ETH"/>
    <x v="1"/>
    <x v="1"/>
    <x v="2"/>
    <n v="2007"/>
    <x v="39"/>
    <n v="35"/>
    <n v="5960.0000381469699"/>
    <n v="5.0012836500000004"/>
    <n v="5.4511299133300799"/>
    <n v="2.4349999427795401"/>
    <s v="2.5"/>
    <n v="3.8185939690000001"/>
    <n v="3082036.09"/>
    <x v="40"/>
    <n v="11102211.98"/>
  </r>
  <r>
    <x v="5"/>
    <s v="GEO"/>
    <x v="0"/>
    <x v="0"/>
    <x v="2"/>
    <n v="2007"/>
    <x v="40"/>
    <n v="4"/>
    <n v="5630.0001144409198"/>
    <n v="7.4351777999999999"/>
    <n v="2.6968700885772701"/>
    <n v="13.2799997329712"/>
    <s v="3.0"/>
    <n v="43.006802700000001"/>
    <n v="141254.59"/>
    <x v="41"/>
    <n v="1340657.21"/>
  </r>
  <r>
    <x v="6"/>
    <s v="GHA"/>
    <x v="1"/>
    <x v="2"/>
    <x v="2"/>
    <n v="2007"/>
    <x v="41"/>
    <n v="9.4"/>
    <n v="9119.9998855590802"/>
    <n v="3.8136858899999999"/>
    <n v="5.5198698043823198"/>
    <n v="4.84299993515015"/>
    <s v="4.0"/>
    <n v="7.2185456280000002"/>
    <n v="730461.34"/>
    <x v="42"/>
    <n v="3776452.79"/>
  </r>
  <r>
    <x v="9"/>
    <s v="MDG"/>
    <x v="1"/>
    <x v="1"/>
    <x v="2"/>
    <n v="2007"/>
    <x v="42"/>
    <n v="30.5"/>
    <n v="1720.0000286102299"/>
    <n v="4.4942874899999996"/>
    <n v="2.9027400016784699"/>
    <n v="3.2609999179840101"/>
    <s v="3.5"/>
    <n v="5.985452403"/>
    <n v="507386.21"/>
    <x v="43"/>
    <n v="3051358.23"/>
  </r>
  <r>
    <x v="20"/>
    <s v="MNG"/>
    <x v="4"/>
    <x v="2"/>
    <x v="2"/>
    <n v="2007"/>
    <x v="43"/>
    <n v="25.2"/>
    <n v="13020.000457763699"/>
    <n v="4.0752248800000004"/>
    <n v="4.6901302337646502"/>
    <n v="7.1999998092651403"/>
    <s v="3.0"/>
    <n v="38.536834939999999"/>
    <n v="173040.83"/>
    <x v="44"/>
    <n v="647016.4"/>
  </r>
  <r>
    <x v="11"/>
    <s v="NPL"/>
    <x v="3"/>
    <x v="2"/>
    <x v="2"/>
    <n v="2007"/>
    <x v="44"/>
    <n v="14.9"/>
    <n v="2690.0000572204599"/>
    <n v="3.6648433200000001"/>
    <n v="3.5172100067138699"/>
    <n v="1.3309999704361"/>
    <s v="3.0"/>
    <n v="21.330670040000001"/>
    <n v="837697.92"/>
    <x v="45"/>
    <n v="4364858.7699999996"/>
  </r>
  <r>
    <x v="13"/>
    <s v="SLE"/>
    <x v="1"/>
    <x v="1"/>
    <x v="2"/>
    <n v="2007"/>
    <x v="45"/>
    <n v="41.7"/>
    <n v="500"/>
    <n v="10.035161970000001"/>
    <n v="2.5585100650787398"/>
    <n v="3.7880001068115199"/>
    <s v="2.5"/>
    <n v="10.595213680000001"/>
    <n v="272984.03000000003"/>
    <x v="46"/>
    <n v="1126324.99"/>
  </r>
  <r>
    <x v="14"/>
    <s v="STP"/>
    <x v="1"/>
    <x v="2"/>
    <x v="2"/>
    <n v="2007"/>
    <x v="46"/>
    <n v="9.8000000000000007"/>
    <n v="79.999998211860699"/>
    <n v="8.1677617999999992"/>
    <n v="6.2868299484252903"/>
    <n v="16.2339992523193"/>
    <s v="3.5"/>
    <n v="20.220754379999999"/>
    <n v="4698.1400000000003"/>
    <x v="47"/>
    <n v="27384.36"/>
  </r>
  <r>
    <x v="16"/>
    <s v="TGO"/>
    <x v="1"/>
    <x v="1"/>
    <x v="2"/>
    <n v="2007"/>
    <x v="47"/>
    <n v="26.2"/>
    <n v="1500"/>
    <n v="3.8666465300000001"/>
    <n v="3.5106298923492401"/>
    <n v="3.80299997329712"/>
    <s v="2.0"/>
    <n v="6.8065243649999996"/>
    <n v="214250.79"/>
    <x v="48"/>
    <n v="880980.18"/>
  </r>
  <r>
    <x v="17"/>
    <s v="TZA"/>
    <x v="1"/>
    <x v="2"/>
    <x v="2"/>
    <n v="2007"/>
    <x v="48"/>
    <n v="25.7"/>
    <n v="5909.9998474121103"/>
    <n v="6.8842783000000001"/>
    <n v="4.0334200859069798"/>
    <n v="3.0299999713897701"/>
    <s v="3.5"/>
    <n v="13.405931430000001"/>
    <n v="1258273.8700000001"/>
    <x v="49"/>
    <n v="6654043.8300000001"/>
  </r>
  <r>
    <x v="1"/>
    <s v="ARM"/>
    <x v="0"/>
    <x v="0"/>
    <x v="3"/>
    <n v="2008"/>
    <x v="49"/>
    <n v="5.6"/>
    <n v="5690.0000572204599"/>
    <n v="6.6397624000000004"/>
    <n v="3.17272996902466"/>
    <n v="14.3929996490479"/>
    <s v="3.0"/>
    <n v="50.96552269"/>
    <n v="91654.04"/>
    <x v="50"/>
    <n v="803568.89"/>
  </r>
  <r>
    <x v="2"/>
    <s v="AZE"/>
    <x v="0"/>
    <x v="0"/>
    <x v="3"/>
    <n v="2008"/>
    <x v="50"/>
    <n v="2.5"/>
    <n v="30450.0007629395"/>
    <n v="1.93880892"/>
    <n v="2.44092988967896"/>
    <n v="5.8600001335143999"/>
    <s v="2.5"/>
    <n v="24.39743142"/>
    <n v="237996.51"/>
    <x v="51"/>
    <n v="2083159.54"/>
  </r>
  <r>
    <x v="18"/>
    <s v="BGD"/>
    <x v="3"/>
    <x v="2"/>
    <x v="3"/>
    <n v="2008"/>
    <x v="51"/>
    <n v="13.6"/>
    <n v="41580.001831054702"/>
    <n v="2.4884834300000001"/>
    <n v="2.0545699596404998"/>
    <n v="4.5669999122619602"/>
    <s v="3.0"/>
    <n v="26.29209359"/>
    <n v="4219100.6100000003"/>
    <x v="52"/>
    <n v="23566513.579999998"/>
  </r>
  <r>
    <x v="3"/>
    <s v="CAF"/>
    <x v="1"/>
    <x v="1"/>
    <x v="3"/>
    <n v="2008"/>
    <x v="52"/>
    <n v="33.299999999999997"/>
    <n v="170.000001788139"/>
    <n v="4.0869908300000004"/>
    <n v="1.2900099754333501"/>
    <n v="5.4699997901916504"/>
    <s v="2.5"/>
    <n v="17.913492519999998"/>
    <n v="341555.83"/>
    <x v="53"/>
    <n v="856832.82"/>
  </r>
  <r>
    <x v="19"/>
    <s v="ETH"/>
    <x v="1"/>
    <x v="1"/>
    <x v="3"/>
    <n v="2008"/>
    <x v="53"/>
    <n v="33.5"/>
    <n v="6489.9997711181604"/>
    <n v="4.2806391699999997"/>
    <n v="5.4081997871398899"/>
    <n v="2.4059998989105198"/>
    <s v="2.5"/>
    <n v="4.0639693020000003"/>
    <n v="3020285.75"/>
    <x v="54"/>
    <n v="11164764.800000001"/>
  </r>
  <r>
    <x v="5"/>
    <s v="GEO"/>
    <x v="0"/>
    <x v="0"/>
    <x v="3"/>
    <n v="2008"/>
    <x v="54"/>
    <n v="3.6"/>
    <n v="4840.0001525878897"/>
    <n v="8.4446716300000002"/>
    <n v="2.9195499420165998"/>
    <n v="17.870000839233398"/>
    <s v="3.0"/>
    <n v="42.29247153"/>
    <n v="182084.82"/>
    <x v="55"/>
    <n v="1338675.08"/>
  </r>
  <r>
    <x v="6"/>
    <s v="GHA"/>
    <x v="1"/>
    <x v="2"/>
    <x v="3"/>
    <n v="2008"/>
    <x v="55"/>
    <n v="8.1999999999999993"/>
    <n v="8659.9998474121094"/>
    <n v="3.8991744499999998"/>
    <n v="5.7579598426818803"/>
    <n v="4.9920001029968297"/>
    <s v="4.0"/>
    <n v="7.6909972099999999"/>
    <n v="722477.84"/>
    <x v="56"/>
    <n v="3835660.3"/>
  </r>
  <r>
    <x v="8"/>
    <s v="LSO"/>
    <x v="1"/>
    <x v="2"/>
    <x v="3"/>
    <n v="2008"/>
    <x v="56"/>
    <n v="12.3"/>
    <n v="460.00000834464998"/>
    <n v="7.7015414199999999"/>
    <n v="12.329520225524901"/>
    <n v="28.7600002288818"/>
    <s v="3.5"/>
    <n v="24.468118310000001"/>
    <n v="158249.14000000001"/>
    <x v="57"/>
    <n v="409964.07"/>
  </r>
  <r>
    <x v="9"/>
    <s v="MDG"/>
    <x v="1"/>
    <x v="1"/>
    <x v="3"/>
    <n v="2008"/>
    <x v="57"/>
    <n v="30.4"/>
    <n v="1779.9999713897701"/>
    <n v="4.1061687500000001"/>
    <n v="2.5543398857116699"/>
    <n v="3.5820000171661399"/>
    <s v="3.5"/>
    <n v="6.3404025129999999"/>
    <n v="524290.78"/>
    <x v="58"/>
    <n v="3151125.83"/>
  </r>
  <r>
    <x v="10"/>
    <s v="MLI"/>
    <x v="1"/>
    <x v="1"/>
    <x v="3"/>
    <n v="2008"/>
    <x v="58"/>
    <n v="9.4"/>
    <n v="2079.9999237060501"/>
    <n v="5.04372358"/>
    <n v="3.4035599231720002"/>
    <n v="10.494000434875501"/>
    <s v="3.5"/>
    <n v="11.46107647"/>
    <n v="608940.37"/>
    <x v="59"/>
    <n v="2476700.94"/>
  </r>
  <r>
    <x v="11"/>
    <s v="NPL"/>
    <x v="3"/>
    <x v="2"/>
    <x v="3"/>
    <n v="2008"/>
    <x v="59"/>
    <n v="13"/>
    <n v="2990.00000953674"/>
    <n v="3.8091130299999998"/>
    <n v="3.8051700592040998"/>
    <n v="1.33000004291534"/>
    <s v="3.0"/>
    <n v="23.1351786"/>
    <n v="840658.08"/>
    <x v="60"/>
    <n v="4465785.6900000004"/>
  </r>
  <r>
    <x v="12"/>
    <s v="SEN"/>
    <x v="1"/>
    <x v="2"/>
    <x v="3"/>
    <n v="2008"/>
    <x v="60"/>
    <n v="11.9"/>
    <n v="6440.0000572204599"/>
    <n v="3.5068757499999998"/>
    <n v="4.0256800651550302"/>
    <n v="10.1330003738403"/>
    <s v="3.0"/>
    <n v="16.703536400000001"/>
    <n v="321085.94"/>
    <x v="61"/>
    <n v="1841615.71"/>
  </r>
  <r>
    <x v="13"/>
    <s v="SLE"/>
    <x v="1"/>
    <x v="1"/>
    <x v="3"/>
    <n v="2008"/>
    <x v="61"/>
    <n v="40.299999999999997"/>
    <n v="519.99998092651401"/>
    <n v="9.8738708499999994"/>
    <n v="2.4131700992584202"/>
    <n v="3.9189999103546098"/>
    <s v="2.5"/>
    <n v="10.85889068"/>
    <n v="257011.4"/>
    <x v="62"/>
    <n v="1126564.54"/>
  </r>
  <r>
    <x v="14"/>
    <s v="STP"/>
    <x v="1"/>
    <x v="2"/>
    <x v="3"/>
    <n v="2008"/>
    <x v="62"/>
    <n v="11.1"/>
    <n v="90.000003576278701"/>
    <n v="7.1120276499999999"/>
    <n v="5.5544900894165004"/>
    <n v="15.630999565124499"/>
    <s v="3.5"/>
    <n v="21.306568609999999"/>
    <n v="4948.3500000000004"/>
    <x v="63"/>
    <n v="27121.43"/>
  </r>
  <r>
    <x v="16"/>
    <s v="TGO"/>
    <x v="1"/>
    <x v="1"/>
    <x v="3"/>
    <n v="2008"/>
    <x v="63"/>
    <n v="25.5"/>
    <n v="1570.0000524520899"/>
    <n v="3.8406379199999998"/>
    <n v="3.2853000164032"/>
    <n v="3.33500003814697"/>
    <s v="2.0"/>
    <n v="6.9898991730000004"/>
    <n v="218187.25"/>
    <x v="64"/>
    <n v="914401.38"/>
  </r>
  <r>
    <x v="17"/>
    <s v="TZA"/>
    <x v="1"/>
    <x v="2"/>
    <x v="3"/>
    <n v="2008"/>
    <x v="64"/>
    <n v="25.9"/>
    <n v="6079.9999237060501"/>
    <n v="5.5570483199999998"/>
    <n v="4.1859102249145499"/>
    <n v="2.7690000534057599"/>
    <s v="3.0"/>
    <n v="14.67210672"/>
    <n v="1264044.5900000001"/>
    <x v="65"/>
    <n v="6776601.3200000003"/>
  </r>
  <r>
    <x v="21"/>
    <s v="WSM"/>
    <x v="4"/>
    <x v="2"/>
    <x v="3"/>
    <n v="2008"/>
    <x v="65"/>
    <n v="4"/>
    <n v="170.000001788139"/>
    <n v="4.6574807199999997"/>
    <n v="5.1442098617553702"/>
    <n v="5.5809998512268102"/>
    <s v="4.0"/>
    <n v="48.339796849999999"/>
    <n v="5995.53"/>
    <x v="66"/>
    <n v="38213.379999999997"/>
  </r>
  <r>
    <x v="1"/>
    <s v="ARM"/>
    <x v="0"/>
    <x v="0"/>
    <x v="4"/>
    <n v="2009"/>
    <x v="66"/>
    <n v="4.4000000000000004"/>
    <n v="4510.0002288818396"/>
    <n v="8.4437799499999997"/>
    <n v="3.8407900333404501"/>
    <n v="18.440000534057599"/>
    <s v="3.0"/>
    <n v="52.427741519999998"/>
    <n v="90683.22"/>
    <x v="67"/>
    <n v="800241.45"/>
  </r>
  <r>
    <x v="2"/>
    <s v="AZE"/>
    <x v="0"/>
    <x v="0"/>
    <x v="4"/>
    <n v="2009"/>
    <x v="67"/>
    <n v="2.5"/>
    <n v="25500"/>
    <n v="2.6137836000000001"/>
    <n v="3.2243099212646502"/>
    <n v="5.7399997711181596"/>
    <s v="2.5"/>
    <n v="24.508164829999998"/>
    <n v="237392.31"/>
    <x v="68"/>
    <n v="2118300.33"/>
  </r>
  <r>
    <x v="18"/>
    <s v="BGD"/>
    <x v="3"/>
    <x v="2"/>
    <x v="4"/>
    <n v="2009"/>
    <x v="68"/>
    <n v="14.8"/>
    <n v="44750"/>
    <n v="2.5609779399999999"/>
    <n v="1.9394199848175"/>
    <n v="5"/>
    <s v="3.0"/>
    <n v="27.35956418"/>
    <n v="4132735.05"/>
    <x v="69"/>
    <n v="23932837.149999999"/>
  </r>
  <r>
    <x v="3"/>
    <s v="CAF"/>
    <x v="1"/>
    <x v="1"/>
    <x v="4"/>
    <n v="2009"/>
    <x v="69"/>
    <n v="31.9"/>
    <n v="170.000001788139"/>
    <n v="4.8190107299999996"/>
    <n v="1.2545800209045399"/>
    <n v="5.48699998855591"/>
    <s v="2.5"/>
    <n v="17.532256180000001"/>
    <n v="362707.02"/>
    <x v="70"/>
    <n v="879031.95"/>
  </r>
  <r>
    <x v="19"/>
    <s v="ETH"/>
    <x v="1"/>
    <x v="1"/>
    <x v="4"/>
    <n v="2009"/>
    <x v="70"/>
    <n v="28.5"/>
    <n v="6530.0002098083496"/>
    <n v="4.6498341600000002"/>
    <n v="4.4220700263977104"/>
    <n v="2.3800001144409202"/>
    <s v="2.5"/>
    <n v="4.3051048889999999"/>
    <n v="3047373.39"/>
    <x v="71"/>
    <n v="11190496.84"/>
  </r>
  <r>
    <x v="5"/>
    <s v="GEO"/>
    <x v="0"/>
    <x v="0"/>
    <x v="4"/>
    <n v="2009"/>
    <x v="71"/>
    <n v="5"/>
    <n v="5619.9998855590802"/>
    <n v="9.56681633"/>
    <n v="3.22237992286682"/>
    <n v="20.709999084472699"/>
    <s v="3.0"/>
    <n v="41.575985490000001"/>
    <n v="151567.35999999999"/>
    <x v="72"/>
    <n v="1347172.87"/>
  </r>
  <r>
    <x v="6"/>
    <s v="GHA"/>
    <x v="1"/>
    <x v="2"/>
    <x v="4"/>
    <n v="2009"/>
    <x v="70"/>
    <n v="6.6"/>
    <n v="10010.0002288818"/>
    <n v="4.4222006800000004"/>
    <n v="5.3174400329589799"/>
    <n v="5.2170000076293901"/>
    <s v="4.0"/>
    <n v="8.1643562079999992"/>
    <n v="731211.02"/>
    <x v="73"/>
    <n v="3925633.79"/>
  </r>
  <r>
    <x v="7"/>
    <s v="IND"/>
    <x v="3"/>
    <x v="2"/>
    <x v="4"/>
    <n v="2009"/>
    <x v="72"/>
    <n v="16.3"/>
    <n v="1564880.0048828099"/>
    <n v="3.4853787399999998"/>
    <n v="3.2782499790191699"/>
    <n v="5.5440001487731898"/>
    <s v="3.5"/>
    <n v="23.338640699999999"/>
    <n v="54420117.229999997"/>
    <x v="74"/>
    <n v="222096113.69999999"/>
  </r>
  <r>
    <x v="9"/>
    <s v="MDG"/>
    <x v="1"/>
    <x v="1"/>
    <x v="4"/>
    <n v="2009"/>
    <x v="73"/>
    <n v="29.7"/>
    <n v="1690.0000572204599"/>
    <n v="4.4167618800000001"/>
    <n v="2.8251299858093302"/>
    <n v="3.9749999046325701"/>
    <s v="2.5"/>
    <n v="6.6924165169999998"/>
    <n v="539464.12"/>
    <x v="75"/>
    <n v="3234177.99"/>
  </r>
  <r>
    <x v="10"/>
    <s v="MLI"/>
    <x v="1"/>
    <x v="1"/>
    <x v="4"/>
    <n v="2009"/>
    <x v="74"/>
    <n v="7.4"/>
    <n v="2509.99999046326"/>
    <n v="5.2265791899999998"/>
    <n v="3.86904001235962"/>
    <n v="9.2869997024536097"/>
    <s v="3.5"/>
    <n v="12.156775039999999"/>
    <n v="631624.62"/>
    <x v="76"/>
    <n v="2562387.48"/>
  </r>
  <r>
    <x v="20"/>
    <s v="MNG"/>
    <x v="4"/>
    <x v="2"/>
    <x v="4"/>
    <n v="2009"/>
    <x v="75"/>
    <n v="19.600000000000001"/>
    <n v="13640.000343322799"/>
    <n v="4.4597988099999997"/>
    <n v="5.1448497772216797"/>
    <n v="5.8600001335143999"/>
    <s v="3.0"/>
    <n v="40.501103069999999"/>
    <n v="173488.53"/>
    <x v="77"/>
    <n v="675940.46"/>
  </r>
  <r>
    <x v="11"/>
    <s v="NPL"/>
    <x v="3"/>
    <x v="2"/>
    <x v="4"/>
    <n v="2009"/>
    <x v="76"/>
    <n v="11.2"/>
    <n v="3880.0001144409198"/>
    <n v="3.8931474700000002"/>
    <n v="4.6637601852417001"/>
    <n v="1.5509999990463299"/>
    <s v="3.0"/>
    <n v="24.97934304"/>
    <n v="841919.02"/>
    <x v="78"/>
    <n v="4572360.62"/>
  </r>
  <r>
    <x v="12"/>
    <s v="SEN"/>
    <x v="1"/>
    <x v="2"/>
    <x v="4"/>
    <n v="2009"/>
    <x v="77"/>
    <n v="11"/>
    <n v="6670.0000762939499"/>
    <n v="3.8415708500000001"/>
    <n v="4.9207301139831499"/>
    <n v="10.211000442504901"/>
    <s v="3.0"/>
    <n v="17.03991637"/>
    <n v="326440.71999999997"/>
    <x v="79"/>
    <n v="1894866.64"/>
  </r>
  <r>
    <x v="13"/>
    <s v="SLE"/>
    <x v="1"/>
    <x v="1"/>
    <x v="4"/>
    <n v="2009"/>
    <x v="78"/>
    <n v="34.9"/>
    <n v="519.99998092651401"/>
    <n v="11.09847832"/>
    <n v="2.7781400680542001"/>
    <n v="4.0489997863769496"/>
    <s v="3.0"/>
    <n v="11.123041669999999"/>
    <n v="273162.17"/>
    <x v="80"/>
    <n v="1142794.92"/>
  </r>
  <r>
    <x v="14"/>
    <s v="STP"/>
    <x v="1"/>
    <x v="2"/>
    <x v="4"/>
    <n v="2009"/>
    <x v="79"/>
    <n v="12.1"/>
    <n v="90.000003576278701"/>
    <n v="7.1951417900000001"/>
    <n v="10.677900314331101"/>
    <n v="15.1990003585815"/>
    <s v="3.5"/>
    <n v="22.398983529999999"/>
    <n v="3792.05"/>
    <x v="81"/>
    <n v="27489.54"/>
  </r>
  <r>
    <x v="15"/>
    <s v="TCD"/>
    <x v="1"/>
    <x v="1"/>
    <x v="4"/>
    <n v="2009"/>
    <x v="80"/>
    <n v="35.700000000000003"/>
    <n v="790.00002145767201"/>
    <n v="4.4416651700000003"/>
    <n v="2.3117399215698202"/>
    <n v="0.95899999141693104"/>
    <s v="2.0"/>
    <n v="8.8342881519999992"/>
    <n v="498366.08"/>
    <x v="82"/>
    <n v="1852401.46"/>
  </r>
  <r>
    <x v="16"/>
    <s v="TGO"/>
    <x v="1"/>
    <x v="1"/>
    <x v="4"/>
    <n v="2009"/>
    <x v="81"/>
    <n v="23"/>
    <n v="2819.9999332428001"/>
    <n v="4.0761723500000002"/>
    <n v="3.86788010597229"/>
    <n v="2.8829998970031698"/>
    <s v="2.0"/>
    <n v="7.1746952689999999"/>
    <n v="227044.31"/>
    <x v="83"/>
    <n v="947402.74"/>
  </r>
  <r>
    <x v="17"/>
    <s v="TZA"/>
    <x v="1"/>
    <x v="2"/>
    <x v="4"/>
    <n v="2009"/>
    <x v="82"/>
    <n v="26.7"/>
    <n v="5929.9998283386203"/>
    <n v="5.0630641000000001"/>
    <n v="3.9607601165771502"/>
    <n v="2.5"/>
    <s v="3.0"/>
    <n v="15.811763450000001"/>
    <n v="1314777.3600000001"/>
    <x v="84"/>
    <n v="6984309.6799999997"/>
  </r>
  <r>
    <x v="1"/>
    <s v="ARM"/>
    <x v="0"/>
    <x v="0"/>
    <x v="5"/>
    <n v="2010"/>
    <x v="83"/>
    <n v="3.7"/>
    <n v="4340.0001525878897"/>
    <n v="9.2353906600000002"/>
    <n v="3.2490000724792498"/>
    <n v="19.0100002288818"/>
    <s v="3.0"/>
    <n v="53.908713579999997"/>
    <n v="89368.82"/>
    <x v="85"/>
    <n v="796897.9"/>
  </r>
  <r>
    <x v="2"/>
    <s v="AZE"/>
    <x v="0"/>
    <x v="0"/>
    <x v="5"/>
    <n v="2010"/>
    <x v="84"/>
    <n v="2.5"/>
    <n v="24309.999465942401"/>
    <n v="2.4899666300000001"/>
    <n v="2.7806200981140101"/>
    <n v="5.6300001144409197"/>
    <s v="2.5"/>
    <n v="24.60805925"/>
    <n v="241384.76"/>
    <x v="86"/>
    <n v="2151954.91"/>
  </r>
  <r>
    <x v="22"/>
    <s v="BOL"/>
    <x v="5"/>
    <x v="2"/>
    <x v="5"/>
    <n v="2010"/>
    <x v="85"/>
    <n v="20.399999999999999"/>
    <n v="15170.0000762939"/>
    <n v="5.2023053199999998"/>
    <n v="7.8099999427795401"/>
    <n v="2.6140000820159899"/>
    <s v="3.5"/>
    <n v="38.697550700000001"/>
    <n v="394579.20000000001"/>
    <x v="87"/>
    <n v="1877780.69"/>
  </r>
  <r>
    <x v="3"/>
    <s v="CAF"/>
    <x v="1"/>
    <x v="1"/>
    <x v="5"/>
    <n v="2010"/>
    <x v="86"/>
    <n v="30.3"/>
    <n v="170.000001788139"/>
    <n v="3.8270401999999999"/>
    <n v="1.11760997772217"/>
    <n v="5.6659998893737802"/>
    <s v="2.5"/>
    <n v="17.156136159999999"/>
    <n v="376495.66"/>
    <x v="88"/>
    <n v="908155.73"/>
  </r>
  <r>
    <x v="4"/>
    <s v="DJI"/>
    <x v="2"/>
    <x v="2"/>
    <x v="5"/>
    <n v="2010"/>
    <x v="87"/>
    <n v="22.4"/>
    <n v="519.99998092651401"/>
    <n v="3.0615036500000001"/>
    <n v="4.4902200698852504"/>
    <n v="27.058000564575199"/>
    <s v="2.5"/>
    <n v="29.774948089999999"/>
    <n v="32076.62"/>
    <x v="89"/>
    <n v="138892.23000000001"/>
  </r>
  <r>
    <x v="19"/>
    <s v="ETH"/>
    <x v="1"/>
    <x v="1"/>
    <x v="5"/>
    <n v="2010"/>
    <x v="88"/>
    <n v="24.7"/>
    <n v="6469.9997901916504"/>
    <n v="5.4663724900000004"/>
    <n v="4.4965901374816903"/>
    <n v="2.33899998664856"/>
    <s v="2.5"/>
    <n v="4.5424233000000003"/>
    <n v="2922804.32"/>
    <x v="90"/>
    <n v="11192274.619999999"/>
  </r>
  <r>
    <x v="5"/>
    <s v="GEO"/>
    <x v="0"/>
    <x v="0"/>
    <x v="5"/>
    <n v="2010"/>
    <x v="89"/>
    <n v="6.7"/>
    <n v="5320.0001716613797"/>
    <n v="9.0734119399999997"/>
    <n v="2.80364990234375"/>
    <n v="20.200000762939499"/>
    <s v="3.5"/>
    <n v="40.85714085"/>
    <n v="149699.88"/>
    <x v="91"/>
    <n v="1339635.97"/>
  </r>
  <r>
    <x v="6"/>
    <s v="GHA"/>
    <x v="1"/>
    <x v="2"/>
    <x v="5"/>
    <n v="2010"/>
    <x v="90"/>
    <n v="6.1"/>
    <n v="11189.999580383301"/>
    <n v="4.2511725399999998"/>
    <n v="5.5405998229980504"/>
    <n v="5.3800001144409197"/>
    <s v="4.0"/>
    <n v="8.6383076079999999"/>
    <n v="741245.03"/>
    <x v="92"/>
    <n v="4016839.41"/>
  </r>
  <r>
    <x v="23"/>
    <s v="HND"/>
    <x v="5"/>
    <x v="2"/>
    <x v="5"/>
    <n v="2010"/>
    <x v="91"/>
    <n v="15.8"/>
    <n v="8180.0003051757803"/>
    <n v="8.7253637299999998"/>
    <n v="6.8000001907348597"/>
    <n v="4.1199998855590803"/>
    <s v="3.0"/>
    <n v="45.716093639999997"/>
    <n v="403953.05"/>
    <x v="93"/>
    <n v="1338914.5900000001"/>
  </r>
  <r>
    <x v="7"/>
    <s v="IND"/>
    <x v="3"/>
    <x v="2"/>
    <x v="5"/>
    <n v="2010"/>
    <x v="92"/>
    <n v="15.9"/>
    <n v="1659979.98046875"/>
    <n v="3.2721190500000001"/>
    <n v="3.3776900768279998"/>
    <n v="5.5460000038146999"/>
    <s v="3.5"/>
    <n v="25.379388160000001"/>
    <n v="55078934.609999999"/>
    <x v="94"/>
    <n v="226910608.80000001"/>
  </r>
  <r>
    <x v="9"/>
    <s v="MDG"/>
    <x v="1"/>
    <x v="1"/>
    <x v="5"/>
    <n v="2010"/>
    <x v="93"/>
    <n v="28.2"/>
    <n v="1870.00000476837"/>
    <n v="4.6510033599999998"/>
    <n v="2.75"/>
    <n v="4.2800002098083496"/>
    <s v="2.5"/>
    <n v="7.0416325769999997"/>
    <n v="535392.1"/>
    <x v="95"/>
    <n v="3291985.37"/>
  </r>
  <r>
    <x v="10"/>
    <s v="MLI"/>
    <x v="1"/>
    <x v="1"/>
    <x v="5"/>
    <n v="2010"/>
    <x v="94"/>
    <n v="5.8"/>
    <n v="2779.9999713897701"/>
    <n v="4.6786503799999997"/>
    <n v="3.34388995170593"/>
    <n v="8.0699996948242205"/>
    <s v="3.5"/>
    <n v="12.85689472"/>
    <n v="631314.28"/>
    <x v="96"/>
    <n v="2618578.83"/>
  </r>
  <r>
    <x v="20"/>
    <s v="MNG"/>
    <x v="4"/>
    <x v="2"/>
    <x v="5"/>
    <n v="2010"/>
    <x v="95"/>
    <n v="16.5"/>
    <n v="14310.000419616699"/>
    <n v="3.7394561799999999"/>
    <n v="4.6451001167297399"/>
    <n v="6.5500001907348597"/>
    <s v="3.0"/>
    <n v="41.478958859999999"/>
    <n v="174690.42"/>
    <x v="97"/>
    <n v="694500.77"/>
  </r>
  <r>
    <x v="24"/>
    <s v="MWI"/>
    <x v="1"/>
    <x v="1"/>
    <x v="5"/>
    <n v="2010"/>
    <x v="96"/>
    <n v="15.5"/>
    <n v="889.99998569488503"/>
    <n v="7.2413830800000003"/>
    <n v="3.5397999286651598"/>
    <n v="5.8940000534057599"/>
    <s v="3.0"/>
    <n v="21.68798232"/>
    <n v="392139.91"/>
    <x v="98"/>
    <n v="2114559.41"/>
  </r>
  <r>
    <x v="11"/>
    <s v="NPL"/>
    <x v="3"/>
    <x v="2"/>
    <x v="5"/>
    <n v="2010"/>
    <x v="97"/>
    <n v="9.9"/>
    <n v="4639.9998664856003"/>
    <n v="4.3516626399999998"/>
    <n v="3.6317200660705602"/>
    <n v="1.8200000524520901"/>
    <s v="2.5"/>
    <n v="26.862832210000001"/>
    <n v="841754.17"/>
    <x v="99"/>
    <n v="4673871.13"/>
  </r>
  <r>
    <x v="12"/>
    <s v="SEN"/>
    <x v="1"/>
    <x v="2"/>
    <x v="5"/>
    <n v="2010"/>
    <x v="98"/>
    <n v="11.3"/>
    <n v="7030.0002098083496"/>
    <n v="4.0276417699999998"/>
    <n v="5.2177400588989302"/>
    <n v="10.263999938964799"/>
    <s v="3.0"/>
    <n v="17.676600350000001"/>
    <n v="296715.82"/>
    <x v="100"/>
    <n v="1830704.3"/>
  </r>
  <r>
    <x v="13"/>
    <s v="SLE"/>
    <x v="1"/>
    <x v="1"/>
    <x v="5"/>
    <n v="2010"/>
    <x v="99"/>
    <n v="29.1"/>
    <n v="560.00000238418602"/>
    <n v="10.943380360000001"/>
    <n v="2.5886399745941202"/>
    <n v="4.1700000762939498"/>
    <s v="3.0"/>
    <n v="11.387593389999999"/>
    <n v="267320"/>
    <x v="101"/>
    <n v="1178263.76"/>
  </r>
  <r>
    <x v="14"/>
    <s v="STP"/>
    <x v="1"/>
    <x v="2"/>
    <x v="5"/>
    <n v="2010"/>
    <x v="100"/>
    <n v="13"/>
    <n v="100.00000149011601"/>
    <n v="6.8446488399999996"/>
    <n v="9.6514701843261701"/>
    <n v="14.6049995422363"/>
    <s v="3.5"/>
    <n v="23.49769521"/>
    <n v="3945.29"/>
    <x v="102"/>
    <n v="28459.759999999998"/>
  </r>
  <r>
    <x v="15"/>
    <s v="TCD"/>
    <x v="1"/>
    <x v="1"/>
    <x v="5"/>
    <n v="2010"/>
    <x v="101"/>
    <n v="31.4"/>
    <n v="1240.00000953674"/>
    <n v="4.0602316900000002"/>
    <n v="1.98194003105164"/>
    <n v="0.96399998664856001"/>
    <s v="2.0"/>
    <n v="8.8954954270000002"/>
    <n v="506975.65"/>
    <x v="103"/>
    <n v="1910734.73"/>
  </r>
  <r>
    <x v="16"/>
    <s v="TGO"/>
    <x v="1"/>
    <x v="1"/>
    <x v="5"/>
    <n v="2010"/>
    <x v="102"/>
    <n v="20.8"/>
    <n v="2630.0001144409198"/>
    <n v="4.4549293499999996"/>
    <n v="4.0963501930236799"/>
    <n v="2.4319999217987101"/>
    <s v="2.5"/>
    <n v="7.3611188629999997"/>
    <n v="231107.15"/>
    <x v="104"/>
    <n v="972039.15"/>
  </r>
  <r>
    <x v="17"/>
    <s v="TZA"/>
    <x v="1"/>
    <x v="2"/>
    <x v="5"/>
    <n v="2010"/>
    <x v="103"/>
    <n v="25.6"/>
    <n v="6909.9998474121103"/>
    <n v="5.2239217800000004"/>
    <n v="4.5416998863220197"/>
    <n v="2.9860000610351598"/>
    <s v="2.5"/>
    <n v="16.93562275"/>
    <n v="1325388.44"/>
    <x v="105"/>
    <n v="7111755.4800000004"/>
  </r>
  <r>
    <x v="21"/>
    <s v="WSM"/>
    <x v="4"/>
    <x v="2"/>
    <x v="5"/>
    <n v="2010"/>
    <x v="104"/>
    <n v="4.2"/>
    <n v="189.99999761581401"/>
    <n v="5.2918906200000002"/>
    <n v="5.8499999046325701"/>
    <n v="5.7280001640319798"/>
    <s v="4.0"/>
    <n v="48.200755909999998"/>
    <n v="6176.83"/>
    <x v="106"/>
    <n v="38898.300000000003"/>
  </r>
  <r>
    <x v="1"/>
    <s v="ARM"/>
    <x v="0"/>
    <x v="0"/>
    <x v="6"/>
    <n v="2011"/>
    <x v="105"/>
    <n v="3.4"/>
    <n v="4940.0000572204599"/>
    <n v="9.3758783300000008"/>
    <n v="3.1438500881195099"/>
    <n v="18.440000534057599"/>
    <s v="3.0"/>
    <n v="55.408475549999999"/>
    <n v="88337.73"/>
    <x v="107"/>
    <n v="793471.02"/>
  </r>
  <r>
    <x v="18"/>
    <s v="BGD"/>
    <x v="3"/>
    <x v="2"/>
    <x v="6"/>
    <n v="2011"/>
    <x v="106"/>
    <n v="15.8"/>
    <n v="54419.998168945298"/>
    <n v="2.7611839800000002"/>
    <n v="2.1326999664306601"/>
    <n v="3.7709999084472701"/>
    <s v="2.5"/>
    <n v="29.481244440000001"/>
    <n v="3763712.05"/>
    <x v="108"/>
    <n v="24215321.210000001"/>
  </r>
  <r>
    <x v="22"/>
    <s v="BOL"/>
    <x v="5"/>
    <x v="2"/>
    <x v="6"/>
    <n v="2011"/>
    <x v="107"/>
    <n v="17.3"/>
    <n v="16610.000610351599"/>
    <n v="5.1730680500000004"/>
    <n v="7.0700001716613796"/>
    <n v="2.25"/>
    <s v="3.5"/>
    <n v="40.058160610000002"/>
    <n v="394903.49"/>
    <x v="109"/>
    <n v="1919423.49"/>
  </r>
  <r>
    <x v="3"/>
    <s v="CAF"/>
    <x v="1"/>
    <x v="1"/>
    <x v="6"/>
    <n v="2011"/>
    <x v="108"/>
    <n v="29.6"/>
    <n v="189.99999761581401"/>
    <n v="3.8737699999999999"/>
    <n v="1.1079200506210301"/>
    <n v="5.6149997711181596"/>
    <s v="2.5"/>
    <n v="16.78457431"/>
    <n v="378078.61"/>
    <x v="110"/>
    <n v="926514.7"/>
  </r>
  <r>
    <x v="19"/>
    <s v="ETH"/>
    <x v="1"/>
    <x v="1"/>
    <x v="6"/>
    <n v="2011"/>
    <x v="109"/>
    <n v="20.9"/>
    <n v="7539.9999618530301"/>
    <n v="4.4689788799999999"/>
    <n v="5.4857602119445801"/>
    <n v="2.31200003623962"/>
    <s v="3.0"/>
    <n v="4.775775962"/>
    <n v="2868780.28"/>
    <x v="111"/>
    <n v="11354780.289999999"/>
  </r>
  <r>
    <x v="5"/>
    <s v="GEO"/>
    <x v="0"/>
    <x v="0"/>
    <x v="6"/>
    <n v="2011"/>
    <x v="110"/>
    <n v="8.1999999999999993"/>
    <n v="6519.99998092651"/>
    <n v="8.0144433999999993"/>
    <n v="2.5761399269103999"/>
    <n v="19.629999160766602"/>
    <s v="3.5"/>
    <n v="40.136086679999998"/>
    <n v="146777.10999999999"/>
    <x v="112"/>
    <n v="1323257.05"/>
  </r>
  <r>
    <x v="6"/>
    <s v="GHA"/>
    <x v="1"/>
    <x v="2"/>
    <x v="6"/>
    <n v="2011"/>
    <x v="111"/>
    <n v="6.1"/>
    <n v="11750"/>
    <n v="4.7100825300000002"/>
    <n v="8.1409702301025408"/>
    <n v="5.5960001945495597"/>
    <s v="4.0"/>
    <n v="9.1123903540000004"/>
    <n v="756012.61"/>
    <x v="113"/>
    <n v="4131445.02"/>
  </r>
  <r>
    <x v="23"/>
    <s v="HND"/>
    <x v="5"/>
    <x v="2"/>
    <x v="6"/>
    <n v="2011"/>
    <x v="112"/>
    <n v="13.4"/>
    <n v="8810.0004196166992"/>
    <n v="8.7918701200000005"/>
    <n v="6.0999999046325701"/>
    <n v="4.4699997901916504"/>
    <s v="3.0"/>
    <n v="46.155663789999998"/>
    <n v="385112.29"/>
    <x v="114"/>
    <n v="1396227.52"/>
  </r>
  <r>
    <x v="7"/>
    <s v="IND"/>
    <x v="3"/>
    <x v="2"/>
    <x v="6"/>
    <n v="2011"/>
    <x v="113"/>
    <n v="15.4"/>
    <n v="1756739.9902343799"/>
    <n v="3.2463419400000002"/>
    <n v="3.7961800098419198"/>
    <n v="5.4260001182556197"/>
    <s v="3.5"/>
    <n v="27.42892062"/>
    <n v="55636759.299999997"/>
    <x v="115"/>
    <n v="233318867.59999999"/>
  </r>
  <r>
    <x v="25"/>
    <s v="KIR"/>
    <x v="4"/>
    <x v="2"/>
    <x v="6"/>
    <n v="2011"/>
    <x v="114"/>
    <n v="3.5"/>
    <n v="50.000000745058102"/>
    <n v="8.5840511300000006"/>
    <n v="12.9700002670288"/>
    <m/>
    <s v="3.5"/>
    <n v="23.192512449999999"/>
    <n v="4653.82"/>
    <x v="116"/>
    <n v="32622.41"/>
  </r>
  <r>
    <x v="8"/>
    <s v="LSO"/>
    <x v="1"/>
    <x v="2"/>
    <x v="6"/>
    <n v="2011"/>
    <x v="115"/>
    <n v="12"/>
    <n v="569.99999284744297"/>
    <n v="9.5615167599999999"/>
    <n v="8.16510009765625"/>
    <n v="26.2439994812012"/>
    <s v="3.5"/>
    <n v="30.571552010000001"/>
    <n v="166606.46"/>
    <x v="117"/>
    <n v="423405.45"/>
  </r>
  <r>
    <x v="9"/>
    <s v="MDG"/>
    <x v="1"/>
    <x v="1"/>
    <x v="6"/>
    <n v="2011"/>
    <x v="116"/>
    <n v="27.3"/>
    <n v="2190.0000572204599"/>
    <n v="4.43843079"/>
    <n v="2.3816800117492698"/>
    <n v="2.4440000057220499"/>
    <s v="2.5"/>
    <n v="7.388017703"/>
    <n v="539357.48"/>
    <x v="118"/>
    <n v="3370290.96"/>
  </r>
  <r>
    <x v="10"/>
    <s v="MLI"/>
    <x v="1"/>
    <x v="1"/>
    <x v="6"/>
    <n v="2011"/>
    <x v="117"/>
    <n v="4.2"/>
    <n v="3119.9998855590802"/>
    <n v="4.0148382199999997"/>
    <n v="3.7542300224304199"/>
    <n v="6.9000000953674299"/>
    <s v="3.5"/>
    <n v="13.56074692"/>
    <n v="631356.62"/>
    <x v="119"/>
    <n v="2666047.9"/>
  </r>
  <r>
    <x v="20"/>
    <s v="MNG"/>
    <x v="4"/>
    <x v="2"/>
    <x v="6"/>
    <n v="2011"/>
    <x v="118"/>
    <n v="14.1"/>
    <n v="15729.999542236301"/>
    <n v="3.58612156"/>
    <n v="4.60902976989746"/>
    <n v="4.7699999809265101"/>
    <s v="3.5"/>
    <n v="42.880712150000001"/>
    <n v="174316.79999999999"/>
    <x v="120"/>
    <n v="707671.86"/>
  </r>
  <r>
    <x v="24"/>
    <s v="MWI"/>
    <x v="1"/>
    <x v="1"/>
    <x v="6"/>
    <n v="2011"/>
    <x v="119"/>
    <n v="13.7"/>
    <n v="930.00000715255703"/>
    <n v="7.4937515299999999"/>
    <n v="4.1526198387145996"/>
    <n v="5.9200000762939498"/>
    <s v="3.0"/>
    <n v="21.939489859999998"/>
    <n v="408466.55"/>
    <x v="121"/>
    <n v="2183126.5"/>
  </r>
  <r>
    <x v="11"/>
    <s v="NPL"/>
    <x v="3"/>
    <x v="2"/>
    <x v="6"/>
    <n v="2011"/>
    <x v="120"/>
    <n v="8.6"/>
    <n v="5199.9998092651404"/>
    <n v="4.4423499099999999"/>
    <n v="3.8426198959350599"/>
    <n v="2.0299999713897701"/>
    <s v="3.0"/>
    <n v="28.78532019"/>
    <n v="846442.97"/>
    <x v="122"/>
    <n v="4788783.1399999997"/>
  </r>
  <r>
    <x v="12"/>
    <s v="SEN"/>
    <x v="1"/>
    <x v="2"/>
    <x v="6"/>
    <n v="2011"/>
    <x v="121"/>
    <n v="11.5"/>
    <n v="7570.0001716613797"/>
    <n v="4.2141656899999997"/>
    <n v="4.9030299186706499"/>
    <n v="10.3599996566772"/>
    <s v="3.5"/>
    <n v="18.321186369999999"/>
    <n v="303726.52"/>
    <x v="123"/>
    <n v="1878086.5"/>
  </r>
  <r>
    <x v="13"/>
    <s v="SLE"/>
    <x v="1"/>
    <x v="1"/>
    <x v="6"/>
    <n v="2011"/>
    <x v="122"/>
    <n v="24.4"/>
    <n v="740.00000953674305"/>
    <n v="13.28134346"/>
    <n v="2.6689000129699698"/>
    <n v="4.2940001487731898"/>
    <s v="3.0"/>
    <n v="11.652588039999999"/>
    <n v="269043.49"/>
    <x v="124"/>
    <n v="1202219.0900000001"/>
  </r>
  <r>
    <x v="14"/>
    <s v="STP"/>
    <x v="1"/>
    <x v="2"/>
    <x v="6"/>
    <n v="2011"/>
    <x v="123"/>
    <n v="13.5"/>
    <n v="100.00000149011601"/>
    <n v="6.7557735399999999"/>
    <n v="8.8910999298095703"/>
    <n v="14.1079998016357"/>
    <s v="3.5"/>
    <n v="24.601976239999999"/>
    <n v="3659.3"/>
    <x v="125"/>
    <n v="27821.03"/>
  </r>
  <r>
    <x v="15"/>
    <s v="TCD"/>
    <x v="1"/>
    <x v="1"/>
    <x v="6"/>
    <n v="2011"/>
    <x v="124"/>
    <n v="26"/>
    <n v="1100.00002384186"/>
    <n v="3.9104661900000002"/>
    <n v="2.2578999996185298"/>
    <n v="1"/>
    <s v="2.0"/>
    <n v="8.9662405090000004"/>
    <n v="508571.08"/>
    <x v="126"/>
    <n v="1960084.81"/>
  </r>
  <r>
    <x v="16"/>
    <s v="TGO"/>
    <x v="1"/>
    <x v="1"/>
    <x v="6"/>
    <n v="2011"/>
    <x v="125"/>
    <n v="19.399999999999999"/>
    <n v="2519.99998092651"/>
    <n v="4.5541200599999998"/>
    <n v="4.3092999458312997"/>
    <n v="1.9800000190734901"/>
    <s v="2.5"/>
    <n v="7.5505510239999998"/>
    <n v="233789.42"/>
    <x v="127"/>
    <n v="995472.41"/>
  </r>
  <r>
    <x v="17"/>
    <s v="TZA"/>
    <x v="1"/>
    <x v="2"/>
    <x v="6"/>
    <n v="2011"/>
    <x v="126"/>
    <n v="24.2"/>
    <n v="8189.9995803832999"/>
    <n v="5.0559849699999999"/>
    <n v="3.5582900047302202"/>
    <n v="3.4700000286102299"/>
    <s v="3.0"/>
    <n v="17.978446909999999"/>
    <n v="1361380.27"/>
    <x v="128"/>
    <n v="7262892.1500000004"/>
  </r>
  <r>
    <x v="21"/>
    <s v="WSM"/>
    <x v="4"/>
    <x v="2"/>
    <x v="6"/>
    <n v="2011"/>
    <x v="127"/>
    <n v="4.0999999999999996"/>
    <n v="200.00000298023201"/>
    <n v="5.4401269000000001"/>
    <n v="6.6100001335143999"/>
    <n v="5.6799998283386204"/>
    <s v="4.0"/>
    <n v="48.131800910000003"/>
    <n v="6202.06"/>
    <x v="129"/>
    <n v="39343.919999999998"/>
  </r>
  <r>
    <x v="1"/>
    <s v="ARM"/>
    <x v="0"/>
    <x v="0"/>
    <x v="7"/>
    <n v="2012"/>
    <x v="128"/>
    <n v="3.2"/>
    <n v="5719.9997901916504"/>
    <n v="9.1345519999999993"/>
    <n v="2.7724800109863299"/>
    <n v="17.299999237060501"/>
    <s v="3.5"/>
    <n v="56.927063629999999"/>
    <n v="87241.65"/>
    <x v="130"/>
    <n v="784451.29"/>
  </r>
  <r>
    <x v="18"/>
    <s v="BGD"/>
    <x v="3"/>
    <x v="2"/>
    <x v="7"/>
    <n v="2012"/>
    <x v="129"/>
    <n v="15.3"/>
    <n v="57990.001678466797"/>
    <n v="2.7482347499999999"/>
    <n v="2.1754999160766602"/>
    <n v="4.1189999580383301"/>
    <s v="2.5"/>
    <n v="30.533663000000001"/>
    <n v="3592971.18"/>
    <x v="131"/>
    <n v="24339817.550000001"/>
  </r>
  <r>
    <x v="22"/>
    <s v="BOL"/>
    <x v="5"/>
    <x v="2"/>
    <x v="7"/>
    <n v="2012"/>
    <x v="130"/>
    <n v="16.7"/>
    <n v="17420.000076293902"/>
    <n v="5.2539444"/>
    <n v="7.9000000953674299"/>
    <n v="2.0699999332428001"/>
    <s v="3.5"/>
    <n v="41.436047539999997"/>
    <n v="388682.16"/>
    <x v="132"/>
    <n v="1960091.85"/>
  </r>
  <r>
    <x v="3"/>
    <s v="CAF"/>
    <x v="1"/>
    <x v="1"/>
    <x v="7"/>
    <n v="2012"/>
    <x v="131"/>
    <n v="33"/>
    <n v="200.00000298023201"/>
    <n v="3.9402041400000001"/>
    <n v="1.98034727573395"/>
    <n v="5.5460000038146999"/>
    <s v="2.5"/>
    <n v="16.417483069999999"/>
    <n v="368406.98"/>
    <x v="133"/>
    <n v="930466.58"/>
  </r>
  <r>
    <x v="19"/>
    <s v="ETH"/>
    <x v="1"/>
    <x v="1"/>
    <x v="7"/>
    <n v="2012"/>
    <x v="132"/>
    <n v="19.399999999999999"/>
    <n v="8479.9995422363299"/>
    <n v="4.5395960799999999"/>
    <n v="5.5667800903320304"/>
    <n v="2.2869999408721902"/>
    <s v="3.0"/>
    <n v="5.0054767230000001"/>
    <n v="2822539.39"/>
    <x v="134"/>
    <n v="11433835.449999999"/>
  </r>
  <r>
    <x v="5"/>
    <s v="GEO"/>
    <x v="0"/>
    <x v="0"/>
    <x v="7"/>
    <n v="2012"/>
    <x v="133"/>
    <n v="7.8"/>
    <n v="7190.0000572204599"/>
    <n v="8.0471591900000004"/>
    <n v="1.90610003471375"/>
    <n v="19.649999618530298"/>
    <s v="3.5"/>
    <n v="39.412620019999999"/>
    <n v="149763.54"/>
    <x v="135"/>
    <n v="1294070.7"/>
  </r>
  <r>
    <x v="6"/>
    <s v="GHA"/>
    <x v="1"/>
    <x v="2"/>
    <x v="7"/>
    <n v="2012"/>
    <x v="134"/>
    <n v="6.4"/>
    <n v="14609.999656677201"/>
    <n v="4.0321440700000002"/>
    <n v="7.9191398620605504"/>
    <n v="5.9109997749328604"/>
    <s v="4.0"/>
    <n v="9.5862056560000006"/>
    <n v="767848.3"/>
    <x v="136"/>
    <n v="4227053.4800000004"/>
  </r>
  <r>
    <x v="7"/>
    <s v="IND"/>
    <x v="3"/>
    <x v="2"/>
    <x v="7"/>
    <n v="2012"/>
    <x v="135"/>
    <n v="14.9"/>
    <n v="1909439.94140625"/>
    <n v="3.3293530900000001"/>
    <n v="3.8675000667571999"/>
    <n v="5.4140000343322798"/>
    <s v="3.5"/>
    <n v="29.48719818"/>
    <n v="55112092.700000003"/>
    <x v="137"/>
    <n v="238189861.19999999"/>
  </r>
  <r>
    <x v="25"/>
    <s v="KIR"/>
    <x v="4"/>
    <x v="2"/>
    <x v="7"/>
    <n v="2012"/>
    <x v="136"/>
    <n v="3.3"/>
    <n v="59.9999986588955"/>
    <n v="8.5984239599999999"/>
    <n v="13.3843803405762"/>
    <m/>
    <s v="3.5"/>
    <n v="23.654454900000001"/>
    <n v="4650.51"/>
    <x v="138"/>
    <n v="33009.040000000001"/>
  </r>
  <r>
    <x v="8"/>
    <s v="LSO"/>
    <x v="1"/>
    <x v="2"/>
    <x v="7"/>
    <n v="2012"/>
    <x v="137"/>
    <n v="14.8"/>
    <n v="620.00000476837204"/>
    <n v="9.2528152499999994"/>
    <n v="7.6660599708557102"/>
    <n v="25.3689994812012"/>
    <s v="3.5"/>
    <n v="32.557800710000002"/>
    <n v="168314.52"/>
    <x v="139"/>
    <n v="432016.17"/>
  </r>
  <r>
    <x v="9"/>
    <s v="MDG"/>
    <x v="1"/>
    <x v="1"/>
    <x v="7"/>
    <n v="2012"/>
    <x v="138"/>
    <n v="29.4"/>
    <n v="2740.00000953674"/>
    <n v="3.8224973699999998"/>
    <n v="2.34067010879517"/>
    <n v="0.60000002384185802"/>
    <s v="2.5"/>
    <n v="7.7315952389999998"/>
    <n v="554903.03"/>
    <x v="140"/>
    <n v="3444239.82"/>
  </r>
  <r>
    <x v="10"/>
    <s v="MLI"/>
    <x v="1"/>
    <x v="1"/>
    <x v="7"/>
    <n v="2012"/>
    <x v="139"/>
    <n v="3.9"/>
    <n v="3109.9998950958302"/>
    <n v="3.7521615000000001"/>
    <n v="3.4794900417327899"/>
    <n v="6.6500000953674299"/>
    <s v="3.0"/>
    <n v="14.267680349999999"/>
    <n v="670394.26"/>
    <x v="141"/>
    <n v="2733586.8"/>
  </r>
  <r>
    <x v="20"/>
    <s v="MNG"/>
    <x v="4"/>
    <x v="2"/>
    <x v="7"/>
    <n v="2012"/>
    <x v="140"/>
    <n v="12.5"/>
    <n v="17139.999389648401"/>
    <n v="3.8549332600000001"/>
    <n v="5.1952099800109899"/>
    <n v="3.9000000953674299"/>
    <s v="3.5"/>
    <n v="44.266736559999998"/>
    <n v="173876.54"/>
    <x v="142"/>
    <n v="714912.91"/>
  </r>
  <r>
    <x v="11"/>
    <s v="NPL"/>
    <x v="3"/>
    <x v="2"/>
    <x v="7"/>
    <n v="2012"/>
    <x v="141"/>
    <n v="7.7"/>
    <n v="6000"/>
    <n v="4.49078512"/>
    <n v="3.2900800704956099"/>
    <n v="2.3299999237060498"/>
    <s v="3.0"/>
    <n v="30.74644232"/>
    <n v="841036.28"/>
    <x v="143"/>
    <n v="4902448.82"/>
  </r>
  <r>
    <x v="12"/>
    <s v="SEN"/>
    <x v="1"/>
    <x v="2"/>
    <x v="7"/>
    <n v="2012"/>
    <x v="142"/>
    <n v="11.9"/>
    <n v="7449.9998092651404"/>
    <n v="4.2668795599999996"/>
    <n v="4.7769899368286097"/>
    <n v="9.4379997253418004"/>
    <s v="3.5"/>
    <n v="18.97369368"/>
    <n v="297815.94"/>
    <x v="144"/>
    <n v="1886908.86"/>
  </r>
  <r>
    <x v="13"/>
    <s v="SLE"/>
    <x v="1"/>
    <x v="1"/>
    <x v="7"/>
    <n v="2012"/>
    <x v="143"/>
    <n v="24.3"/>
    <n v="860.00001430511497"/>
    <n v="10.59041977"/>
    <n v="2.8720400333404501"/>
    <n v="4.3979997634887704"/>
    <s v="3.0"/>
    <n v="11.917947679999999"/>
    <n v="271775.55"/>
    <x v="145"/>
    <n v="1228975.45"/>
  </r>
  <r>
    <x v="14"/>
    <s v="STP"/>
    <x v="1"/>
    <x v="2"/>
    <x v="7"/>
    <n v="2012"/>
    <x v="144"/>
    <n v="13.3"/>
    <n v="119.999997317791"/>
    <n v="6.4762949900000004"/>
    <n v="6.3395099639892596"/>
    <n v="13.5900001525879"/>
    <s v="3.5"/>
    <n v="25.71140334"/>
    <n v="3597.16"/>
    <x v="146"/>
    <n v="27950.51"/>
  </r>
  <r>
    <x v="15"/>
    <s v="TCD"/>
    <x v="1"/>
    <x v="1"/>
    <x v="7"/>
    <n v="2012"/>
    <x v="145"/>
    <n v="25.4"/>
    <n v="1860.00001430511"/>
    <n v="3.85607743"/>
    <n v="2.2061500549316402"/>
    <n v="1.0060000419616699"/>
    <s v="2.0"/>
    <n v="9.0472802849999994"/>
    <n v="516302.81"/>
    <x v="147"/>
    <n v="2012701.21"/>
  </r>
  <r>
    <x v="16"/>
    <s v="TGO"/>
    <x v="1"/>
    <x v="1"/>
    <x v="7"/>
    <n v="2012"/>
    <x v="146"/>
    <n v="19.399999999999999"/>
    <n v="2240.00000953674"/>
    <n v="4.8078656200000003"/>
    <n v="4.7192001342773402"/>
    <n v="2.0339999198913601"/>
    <s v="2.5"/>
    <n v="7.7420556439999997"/>
    <n v="230228.19"/>
    <x v="148"/>
    <n v="1011255.29"/>
  </r>
  <r>
    <x v="17"/>
    <s v="TZA"/>
    <x v="1"/>
    <x v="2"/>
    <x v="7"/>
    <n v="2012"/>
    <x v="147"/>
    <n v="23.2"/>
    <n v="9869.9998855590802"/>
    <n v="5.0177936599999997"/>
    <n v="3.4709300994872998"/>
    <n v="3.2279999256134002"/>
    <s v="3.0"/>
    <n v="18.99554088"/>
    <n v="1393313.64"/>
    <x v="149"/>
    <n v="7477715.3099999996"/>
  </r>
  <r>
    <x v="21"/>
    <s v="WSM"/>
    <x v="4"/>
    <x v="2"/>
    <x v="7"/>
    <n v="2012"/>
    <x v="148"/>
    <n v="4"/>
    <n v="200.00000298023201"/>
    <n v="5.0794401200000001"/>
    <n v="5.1599998474121103"/>
    <n v="8.75"/>
    <s v="4.0"/>
    <n v="48.064931289999997"/>
    <n v="6966.62"/>
    <x v="150"/>
    <n v="39794.949999999997"/>
  </r>
  <r>
    <x v="1"/>
    <s v="ARM"/>
    <x v="0"/>
    <x v="0"/>
    <x v="8"/>
    <n v="2013"/>
    <x v="149"/>
    <n v="3.2"/>
    <n v="5500"/>
    <n v="10.323445319999999"/>
    <n v="2.6501801013946502"/>
    <n v="16.180000305175799"/>
    <s v="3.5"/>
    <n v="58.46433021"/>
    <n v="82888.240000000005"/>
    <x v="151"/>
    <n v="769111.51"/>
  </r>
  <r>
    <x v="18"/>
    <s v="BGD"/>
    <x v="3"/>
    <x v="2"/>
    <x v="8"/>
    <n v="2013"/>
    <x v="150"/>
    <n v="15"/>
    <n v="60599.998474121101"/>
    <n v="2.6544685399999999"/>
    <n v="1.9661600589752199"/>
    <n v="4.4299998283386204"/>
    <s v="2.5"/>
    <n v="31.579501619999998"/>
    <n v="3502632.64"/>
    <x v="152"/>
    <n v="24678300.550000001"/>
  </r>
  <r>
    <x v="22"/>
    <s v="BOL"/>
    <x v="5"/>
    <x v="2"/>
    <x v="8"/>
    <n v="2013"/>
    <x v="151"/>
    <n v="16.5"/>
    <n v="18739.9997711182"/>
    <n v="5.5746512399999997"/>
    <n v="7.5799999237060502"/>
    <n v="2.4400000572204599"/>
    <s v="3.5"/>
    <n v="42.817896349999998"/>
    <n v="391072.36"/>
    <x v="153"/>
    <n v="2000513.57"/>
  </r>
  <r>
    <x v="3"/>
    <s v="CAF"/>
    <x v="1"/>
    <x v="1"/>
    <x v="8"/>
    <n v="2013"/>
    <x v="152"/>
    <n v="40.200000000000003"/>
    <n v="119.999997317791"/>
    <n v="4.9516248699999998"/>
    <n v="2.6382143497467001"/>
    <n v="5.5159997940063503"/>
    <s v="2.5"/>
    <n v="16.054544400000001"/>
    <n v="673263.38"/>
    <x v="154"/>
    <n v="935570.39"/>
  </r>
  <r>
    <x v="19"/>
    <s v="ETH"/>
    <x v="1"/>
    <x v="1"/>
    <x v="8"/>
    <n v="2013"/>
    <x v="153"/>
    <n v="17.7"/>
    <n v="10079.9999237061"/>
    <n v="4.0750651400000004"/>
    <n v="4.4985499382018999"/>
    <n v="2.25"/>
    <s v="3.0"/>
    <n v="5.2246500070000002"/>
    <n v="2729926.96"/>
    <x v="155"/>
    <n v="11553683.41"/>
  </r>
  <r>
    <x v="5"/>
    <s v="GEO"/>
    <x v="0"/>
    <x v="0"/>
    <x v="8"/>
    <n v="2013"/>
    <x v="154"/>
    <n v="7.9"/>
    <n v="7840.0001525878897"/>
    <n v="7.8830480600000001"/>
    <n v="2.8867199420928999"/>
    <n v="19.420000076293899"/>
    <s v="3.5"/>
    <n v="38.687069800000003"/>
    <n v="146181.92000000001"/>
    <x v="156"/>
    <n v="1259026.94"/>
  </r>
  <r>
    <x v="6"/>
    <s v="GHA"/>
    <x v="1"/>
    <x v="2"/>
    <x v="8"/>
    <n v="2013"/>
    <x v="155"/>
    <n v="6.6"/>
    <n v="15630.0001144409"/>
    <n v="4.6230053900000003"/>
    <n v="4.5764698982238796"/>
    <n v="6.2030000686645499"/>
    <s v="4.0"/>
    <n v="10.059366689999999"/>
    <n v="785815.44"/>
    <x v="157"/>
    <n v="4330458.57"/>
  </r>
  <r>
    <x v="23"/>
    <s v="HND"/>
    <x v="5"/>
    <x v="2"/>
    <x v="8"/>
    <n v="2013"/>
    <x v="156"/>
    <n v="14.2"/>
    <n v="9369.9998855590802"/>
    <n v="8.4772300699999992"/>
    <n v="5.8749299049377397"/>
    <n v="5.6500000953674299"/>
    <s v="3.0"/>
    <n v="46.982114590000002"/>
    <n v="613162.01"/>
    <x v="158"/>
    <n v="1490765.88"/>
  </r>
  <r>
    <x v="7"/>
    <s v="IND"/>
    <x v="3"/>
    <x v="2"/>
    <x v="8"/>
    <n v="2013"/>
    <x v="157"/>
    <n v="14.9"/>
    <n v="1972430.0537109401"/>
    <n v="3.7494416199999998"/>
    <n v="3.8446700572967498"/>
    <n v="5.4239997863769496"/>
    <s v="3.5"/>
    <n v="31.55352208"/>
    <n v="53868774.939999998"/>
    <x v="159"/>
    <n v="242690488.59999999"/>
  </r>
  <r>
    <x v="25"/>
    <s v="KIR"/>
    <x v="4"/>
    <x v="2"/>
    <x v="8"/>
    <n v="2013"/>
    <x v="158"/>
    <n v="3.3"/>
    <n v="59.9999986588955"/>
    <n v="9.4600524900000007"/>
    <n v="12.0265302658081"/>
    <m/>
    <s v="3.5"/>
    <n v="24.097654649999999"/>
    <n v="4660.1499999999996"/>
    <x v="160"/>
    <n v="33419.339999999997"/>
  </r>
  <r>
    <x v="8"/>
    <s v="LSO"/>
    <x v="1"/>
    <x v="2"/>
    <x v="8"/>
    <n v="2013"/>
    <x v="159"/>
    <n v="19.3"/>
    <n v="610.00001430511497"/>
    <n v="9.5466814000000007"/>
    <n v="7.2922601699829102"/>
    <n v="24.579999923706101"/>
    <s v="3.5"/>
    <n v="34.521243040000002"/>
    <n v="168863.73"/>
    <x v="161"/>
    <n v="439624.29"/>
  </r>
  <r>
    <x v="9"/>
    <s v="MDG"/>
    <x v="1"/>
    <x v="1"/>
    <x v="8"/>
    <n v="2013"/>
    <x v="160"/>
    <n v="33"/>
    <n v="2930.0000667571999"/>
    <n v="3.7389683699999998"/>
    <n v="1.7769399881362899"/>
    <n v="0.99500000476837203"/>
    <s v="2.0"/>
    <n v="8.0723300140000003"/>
    <n v="557501"/>
    <x v="162"/>
    <n v="3509795.74"/>
  </r>
  <r>
    <x v="10"/>
    <s v="MLI"/>
    <x v="1"/>
    <x v="1"/>
    <x v="8"/>
    <n v="2013"/>
    <x v="161"/>
    <n v="3.7"/>
    <n v="3220.0000286102299"/>
    <n v="3.9675071200000001"/>
    <n v="3.28465008735657"/>
    <n v="6.3499999046325701"/>
    <s v="3.0"/>
    <n v="14.97708308"/>
    <n v="730859.94"/>
    <x v="163"/>
    <n v="2800653.79"/>
  </r>
  <r>
    <x v="26"/>
    <s v="MMR"/>
    <x v="4"/>
    <x v="2"/>
    <x v="8"/>
    <n v="2013"/>
    <x v="162"/>
    <n v="6.1"/>
    <n v="13600.000381469699"/>
    <n v="3.2007157799999999"/>
    <n v="2.0999999046325701"/>
    <n v="0.74699997901916504"/>
    <s v="2.5"/>
    <n v="60.979430739999998"/>
    <n v="1932768.39"/>
    <x v="164"/>
    <n v="11963331.35"/>
  </r>
  <r>
    <x v="20"/>
    <s v="MNG"/>
    <x v="4"/>
    <x v="2"/>
    <x v="8"/>
    <n v="2013"/>
    <x v="163"/>
    <n v="11.4"/>
    <n v="18379.999160766602"/>
    <n v="4.0661606800000003"/>
    <n v="4.9407701492309597"/>
    <n v="4.2300000190734899"/>
    <s v="3.5"/>
    <n v="45.672786510000002"/>
    <n v="173565.48"/>
    <x v="165"/>
    <n v="721723.81"/>
  </r>
  <r>
    <x v="24"/>
    <s v="MWI"/>
    <x v="1"/>
    <x v="1"/>
    <x v="8"/>
    <n v="2013"/>
    <x v="164"/>
    <n v="14.8"/>
    <n v="980.00001907348599"/>
    <n v="11.579107280000001"/>
    <n v="5.4161701202392596"/>
    <n v="5.9499998092651403"/>
    <s v="2.5"/>
    <n v="22.44363817"/>
    <n v="405779.44"/>
    <x v="166"/>
    <n v="2242633.92"/>
  </r>
  <r>
    <x v="11"/>
    <s v="NPL"/>
    <x v="3"/>
    <x v="2"/>
    <x v="8"/>
    <n v="2013"/>
    <x v="165"/>
    <n v="6.8"/>
    <n v="6090.0001525878897"/>
    <n v="4.6301178900000002"/>
    <n v="3.01811003684998"/>
    <n v="2.5510001182556201"/>
    <s v="3.0"/>
    <n v="32.745748659999997"/>
    <n v="859305.23"/>
    <x v="167"/>
    <n v="5031592.92"/>
  </r>
  <r>
    <x v="12"/>
    <s v="SEN"/>
    <x v="1"/>
    <x v="2"/>
    <x v="8"/>
    <n v="2013"/>
    <x v="166"/>
    <n v="12"/>
    <n v="8010.0002288818396"/>
    <n v="4.38575172"/>
    <n v="5.6865601539611799"/>
    <n v="8.5780000686645508"/>
    <s v="3.5"/>
    <n v="19.634119550000001"/>
    <n v="305516.48"/>
    <x v="168"/>
    <n v="1943531.97"/>
  </r>
  <r>
    <x v="13"/>
    <s v="SLE"/>
    <x v="1"/>
    <x v="1"/>
    <x v="8"/>
    <n v="2013"/>
    <x v="167"/>
    <n v="25.4"/>
    <n v="1039.9999618530301"/>
    <n v="11.56772041"/>
    <n v="2.37981009483337"/>
    <n v="4.5100002288818404"/>
    <s v="3.0"/>
    <n v="12.18336482"/>
    <n v="278524.58"/>
    <x v="169"/>
    <n v="1253119.6000000001"/>
  </r>
  <r>
    <x v="14"/>
    <s v="STP"/>
    <x v="1"/>
    <x v="2"/>
    <x v="8"/>
    <n v="2013"/>
    <x v="168"/>
    <n v="12.9"/>
    <n v="119.999997317791"/>
    <n v="7.9374380100000002"/>
    <n v="5.9396901130676296"/>
    <n v="13.649000167846699"/>
    <s v="3.5"/>
    <n v="26.823253709999999"/>
    <n v="3761.59"/>
    <x v="170"/>
    <n v="28865.32"/>
  </r>
  <r>
    <x v="15"/>
    <s v="TCD"/>
    <x v="1"/>
    <x v="1"/>
    <x v="8"/>
    <n v="2013"/>
    <x v="169"/>
    <n v="25.6"/>
    <n v="2190.0000572204599"/>
    <n v="4.06645155"/>
    <n v="2.8507099151611301"/>
    <n v="1.0290000438690201"/>
    <s v="2.0"/>
    <n v="9.1389900940000004"/>
    <n v="535850.59"/>
    <x v="171"/>
    <n v="2074392.68"/>
  </r>
  <r>
    <x v="16"/>
    <s v="TGO"/>
    <x v="1"/>
    <x v="1"/>
    <x v="8"/>
    <n v="2013"/>
    <x v="170"/>
    <n v="19.399999999999999"/>
    <n v="1750"/>
    <n v="4.9437351200000004"/>
    <n v="4.4236497879028303"/>
    <n v="2.08899998664856"/>
    <s v="2.5"/>
    <n v="7.9344181789999997"/>
    <n v="229444.19"/>
    <x v="172"/>
    <n v="1026225.01"/>
  </r>
  <r>
    <x v="17"/>
    <s v="TZA"/>
    <x v="1"/>
    <x v="2"/>
    <x v="8"/>
    <n v="2013"/>
    <x v="171"/>
    <n v="22.7"/>
    <n v="10810.000419616699"/>
    <n v="4.6464338300000003"/>
    <n v="3.35795998573303"/>
    <n v="2.9300000667571999"/>
    <s v="3.0"/>
    <n v="20.016745950000001"/>
    <n v="1418615.33"/>
    <x v="173"/>
    <n v="7651634.6600000001"/>
  </r>
  <r>
    <x v="21"/>
    <s v="WSM"/>
    <x v="4"/>
    <x v="2"/>
    <x v="8"/>
    <n v="2013"/>
    <x v="172"/>
    <n v="3.7"/>
    <n v="200.00000298023201"/>
    <n v="6.4495720900000002"/>
    <n v="4.6700000762939498"/>
    <n v="8.6669998168945295"/>
    <s v="4.0"/>
    <n v="47.999408240000001"/>
    <n v="6312.04"/>
    <x v="174"/>
    <n v="40239.279999999999"/>
  </r>
  <r>
    <x v="22"/>
    <s v="BOL"/>
    <x v="5"/>
    <x v="2"/>
    <x v="9"/>
    <n v="2014"/>
    <x v="173"/>
    <n v="15.6"/>
    <n v="20409.999847412098"/>
    <n v="5.8961362800000003"/>
    <n v="8.2600002288818395"/>
    <n v="2.0199999809265101"/>
    <s v="3.5"/>
    <n v="44.208867320000003"/>
    <n v="388997.23"/>
    <x v="175"/>
    <n v="2034470.93"/>
  </r>
  <r>
    <x v="3"/>
    <s v="CAF"/>
    <x v="1"/>
    <x v="1"/>
    <x v="9"/>
    <n v="2014"/>
    <x v="174"/>
    <n v="47.9"/>
    <n v="129.99999523162799"/>
    <n v="4.9166021300000002"/>
    <n v="2.22015333175659"/>
    <n v="5.5289998054504403"/>
    <s v="2.5"/>
    <n v="15.695234299999999"/>
    <n v="741570.76"/>
    <x v="176"/>
    <n v="936532.5"/>
  </r>
  <r>
    <x v="19"/>
    <s v="ETH"/>
    <x v="1"/>
    <x v="1"/>
    <x v="9"/>
    <n v="2014"/>
    <x v="175"/>
    <n v="15.9"/>
    <n v="12340.0001525879"/>
    <n v="4.0336360899999999"/>
    <n v="4.6020197868347203"/>
    <n v="2.2620000839233398"/>
    <s v="3.0"/>
    <n v="5.4399997070000001"/>
    <n v="2743703.69"/>
    <x v="177"/>
    <n v="11853944.35"/>
  </r>
  <r>
    <x v="6"/>
    <s v="GHA"/>
    <x v="1"/>
    <x v="2"/>
    <x v="9"/>
    <n v="2014"/>
    <x v="176"/>
    <n v="7.1"/>
    <n v="15090.0001525879"/>
    <n v="4.1004481300000002"/>
    <n v="4.3997898101806596"/>
    <n v="6.5240001678466797"/>
    <s v="3.5"/>
    <n v="10.53152455"/>
    <n v="813168.55"/>
    <x v="178"/>
    <n v="4467086.8600000003"/>
  </r>
  <r>
    <x v="23"/>
    <s v="HND"/>
    <x v="5"/>
    <x v="2"/>
    <x v="9"/>
    <n v="2014"/>
    <x v="177"/>
    <n v="14.6"/>
    <n v="9460.0000381469708"/>
    <n v="7.9145574600000002"/>
    <n v="7.0901198387145996"/>
    <n v="7.0799999237060502"/>
    <s v="3.0"/>
    <n v="47.369617249999997"/>
    <n v="619290.64"/>
    <x v="179"/>
    <n v="1526581.72"/>
  </r>
  <r>
    <x v="25"/>
    <s v="KIR"/>
    <x v="4"/>
    <x v="2"/>
    <x v="9"/>
    <n v="2014"/>
    <x v="178"/>
    <n v="3.2"/>
    <n v="59.9999986588955"/>
    <n v="9.9376888300000008"/>
    <n v="11.2323703765869"/>
    <m/>
    <s v="3.5"/>
    <n v="24.52203802"/>
    <n v="4662.08"/>
    <x v="180"/>
    <n v="33784.19"/>
  </r>
  <r>
    <x v="8"/>
    <s v="LSO"/>
    <x v="1"/>
    <x v="2"/>
    <x v="9"/>
    <n v="2014"/>
    <x v="179"/>
    <n v="26.1"/>
    <n v="610.00001430511497"/>
    <n v="9.1744928399999992"/>
    <n v="7.1985998153686497"/>
    <n v="24.221000671386701"/>
    <s v="3.0"/>
    <n v="36.461856220000001"/>
    <n v="170333.19"/>
    <x v="181"/>
    <n v="445592.04"/>
  </r>
  <r>
    <x v="9"/>
    <s v="MDG"/>
    <x v="1"/>
    <x v="1"/>
    <x v="9"/>
    <n v="2014"/>
    <x v="180"/>
    <n v="37.6"/>
    <n v="3009.99999046326"/>
    <n v="4.4283366199999996"/>
    <n v="2.3812301158904998"/>
    <n v="1.3899999856948899"/>
    <s v="2.5"/>
    <n v="8.4103053570000004"/>
    <n v="583329.37"/>
    <x v="182"/>
    <n v="3594928.09"/>
  </r>
  <r>
    <x v="10"/>
    <s v="MLI"/>
    <x v="1"/>
    <x v="1"/>
    <x v="9"/>
    <n v="2014"/>
    <x v="181"/>
    <n v="3.6"/>
    <n v="3380.0001144409198"/>
    <n v="4.4815630899999999"/>
    <n v="3.6481900215148899"/>
    <n v="6.3800001144409197"/>
    <s v="3.0"/>
    <n v="15.68827712"/>
    <n v="691349.01"/>
    <x v="183"/>
    <n v="2886516.86"/>
  </r>
  <r>
    <x v="26"/>
    <s v="MMR"/>
    <x v="4"/>
    <x v="2"/>
    <x v="9"/>
    <n v="2014"/>
    <x v="182"/>
    <n v="5.0999999999999996"/>
    <n v="17040.0009155273"/>
    <n v="4.3934602700000003"/>
    <n v="1.8999999761581401"/>
    <n v="0.75499999523162797"/>
    <s v="3.0"/>
    <n v="60.955252649999998"/>
    <n v="1885762.4"/>
    <x v="184"/>
    <n v="12053745.789999999"/>
  </r>
  <r>
    <x v="20"/>
    <s v="MNG"/>
    <x v="4"/>
    <x v="2"/>
    <x v="9"/>
    <n v="2014"/>
    <x v="183"/>
    <n v="10.1"/>
    <n v="18120.000839233398"/>
    <n v="4.1765727999999998"/>
    <n v="4.7148499488830602"/>
    <n v="4.8000001907348597"/>
    <s v="3.5"/>
    <n v="47.098697309999999"/>
    <n v="173743.43"/>
    <x v="185"/>
    <n v="729264.08"/>
  </r>
  <r>
    <x v="24"/>
    <s v="MWI"/>
    <x v="1"/>
    <x v="1"/>
    <x v="9"/>
    <n v="2014"/>
    <x v="184"/>
    <n v="15.4"/>
    <n v="850.00002384185802"/>
    <n v="9.7120504400000005"/>
    <n v="4.8398399353027299"/>
    <n v="5.8979997634887704"/>
    <s v="2.5"/>
    <n v="22.696083869999999"/>
    <n v="405444.72"/>
    <x v="186"/>
    <n v="2275648.62"/>
  </r>
  <r>
    <x v="11"/>
    <s v="NPL"/>
    <x v="3"/>
    <x v="2"/>
    <x v="9"/>
    <n v="2014"/>
    <x v="185"/>
    <n v="6.1"/>
    <n v="7130.0001144409198"/>
    <n v="5.0754828500000002"/>
    <n v="3.4721300601959202"/>
    <n v="2.9440000057220499"/>
    <s v="3.0"/>
    <n v="34.782781880000002"/>
    <n v="878958.61"/>
    <x v="187"/>
    <n v="5133253"/>
  </r>
  <r>
    <x v="12"/>
    <s v="SEN"/>
    <x v="1"/>
    <x v="2"/>
    <x v="9"/>
    <n v="2014"/>
    <x v="186"/>
    <n v="11.8"/>
    <n v="8569.9996948242206"/>
    <n v="4.3960580800000004"/>
    <n v="5.7202100753784197"/>
    <n v="7.6459999084472701"/>
    <s v="3.5"/>
    <n v="20.302470799999998"/>
    <n v="328669.46000000002"/>
    <x v="188"/>
    <n v="2045935.25"/>
  </r>
  <r>
    <x v="13"/>
    <s v="SLE"/>
    <x v="1"/>
    <x v="1"/>
    <x v="9"/>
    <n v="2014"/>
    <x v="187"/>
    <n v="25"/>
    <n v="1149.99997615814"/>
    <n v="19.727416989999998"/>
    <n v="2.6629199981689502"/>
    <n v="4.6799998283386204"/>
    <s v="3.0"/>
    <n v="12.448993590000001"/>
    <n v="281476.52"/>
    <x v="189"/>
    <n v="1278082.77"/>
  </r>
  <r>
    <x v="14"/>
    <s v="STP"/>
    <x v="1"/>
    <x v="2"/>
    <x v="9"/>
    <n v="2014"/>
    <x v="188"/>
    <n v="13"/>
    <n v="119.999997317791"/>
    <n v="6.73101854"/>
    <n v="3.7490599155425999"/>
    <n v="13.704999923706101"/>
    <s v="3.5"/>
    <n v="27.937528319999998"/>
    <n v="4149"/>
    <x v="190"/>
    <n v="30638.16"/>
  </r>
  <r>
    <x v="15"/>
    <s v="TCD"/>
    <x v="1"/>
    <x v="1"/>
    <x v="9"/>
    <n v="2014"/>
    <x v="189"/>
    <n v="27"/>
    <n v="2259.99999046326"/>
    <n v="4.2731685600000002"/>
    <n v="2.5999999046325701"/>
    <n v="1.0460000038146999"/>
    <s v="2.5"/>
    <n v="9.2419469410000001"/>
    <n v="543497.87"/>
    <x v="191"/>
    <n v="2123729.73"/>
  </r>
  <r>
    <x v="16"/>
    <s v="TGO"/>
    <x v="1"/>
    <x v="1"/>
    <x v="9"/>
    <n v="2014"/>
    <x v="190"/>
    <n v="20.2"/>
    <n v="1590.0000333785999"/>
    <n v="5.0753650700000001"/>
    <n v="4.7845501899719203"/>
    <n v="2.1449999809265101"/>
    <s v="2.5"/>
    <n v="8.1276514730000002"/>
    <n v="238396.33"/>
    <x v="192"/>
    <n v="1054239.77"/>
  </r>
  <r>
    <x v="17"/>
    <s v="TZA"/>
    <x v="1"/>
    <x v="2"/>
    <x v="9"/>
    <n v="2014"/>
    <x v="191"/>
    <n v="22.5"/>
    <n v="10710.000038147"/>
    <n v="4.0149202300000004"/>
    <n v="3.3848800659179701"/>
    <n v="2.1199998855590798"/>
    <s v="3.0"/>
    <n v="21.042050920000001"/>
    <n v="1381519.43"/>
    <x v="193"/>
    <n v="7664356.3899999997"/>
  </r>
  <r>
    <x v="21"/>
    <s v="WSM"/>
    <x v="4"/>
    <x v="2"/>
    <x v="9"/>
    <n v="2014"/>
    <x v="192"/>
    <n v="4.0999999999999996"/>
    <n v="209.99999344348899"/>
    <n v="6.60753155"/>
    <n v="5.4099998474121103"/>
    <n v="8.7200002670288104"/>
    <s v="4.0"/>
    <n v="47.934083299999998"/>
    <n v="6364.5"/>
    <x v="194"/>
    <n v="40766.81"/>
  </r>
  <r>
    <x v="22"/>
    <s v="BOL"/>
    <x v="5"/>
    <x v="2"/>
    <x v="10"/>
    <n v="2015"/>
    <x v="193"/>
    <n v="14.3"/>
    <n v="20760.0002288818"/>
    <n v="6.5506496399999996"/>
    <n v="8.9399995803833008"/>
    <n v="3.1099998950958301"/>
    <s v="3.0"/>
    <n v="45.617177769999998"/>
    <n v="384525.73"/>
    <x v="195"/>
    <n v="2076103.12"/>
  </r>
  <r>
    <x v="3"/>
    <s v="CAF"/>
    <x v="1"/>
    <x v="1"/>
    <x v="10"/>
    <n v="2015"/>
    <x v="194"/>
    <n v="49.9"/>
    <n v="189.99999761581401"/>
    <n v="5.0343523000000001"/>
    <n v="1.91022861003876"/>
    <n v="5.6059999465942401"/>
    <s v="2.5"/>
    <n v="15.33947083"/>
    <n v="430688.65"/>
    <x v="196"/>
    <n v="946013.03"/>
  </r>
  <r>
    <x v="4"/>
    <s v="DJI"/>
    <x v="2"/>
    <x v="2"/>
    <x v="10"/>
    <n v="2015"/>
    <x v="195"/>
    <n v="14.2"/>
    <n v="460.00000834464998"/>
    <n v="3.0755648600000001"/>
    <n v="3.5902400016784699"/>
    <n v="26.325000762939499"/>
    <s v="2.5"/>
    <n v="33.820964250000003"/>
    <n v="34730.9"/>
    <x v="197"/>
    <n v="159849.74"/>
  </r>
  <r>
    <x v="19"/>
    <s v="ETH"/>
    <x v="1"/>
    <x v="1"/>
    <x v="10"/>
    <n v="2015"/>
    <x v="196"/>
    <n v="14.8"/>
    <n v="12890.000343322799"/>
    <n v="3.8231711399999999"/>
    <n v="4.7379198074340803"/>
    <n v="2.2739999294281001"/>
    <s v="3.0"/>
    <n v="5.6549946159999998"/>
    <n v="2738822.83"/>
    <x v="198"/>
    <n v="12011987.27"/>
  </r>
  <r>
    <x v="6"/>
    <s v="GHA"/>
    <x v="1"/>
    <x v="2"/>
    <x v="10"/>
    <n v="2015"/>
    <x v="197"/>
    <n v="7.7"/>
    <n v="15779.999732971201"/>
    <n v="4.6217145899999998"/>
    <n v="4.4340500831604004"/>
    <n v="6.8099999427795401"/>
    <s v="3.5"/>
    <n v="11.00233495"/>
    <n v="855628.63"/>
    <x v="199"/>
    <n v="4611697.34"/>
  </r>
  <r>
    <x v="23"/>
    <s v="HND"/>
    <x v="5"/>
    <x v="2"/>
    <x v="10"/>
    <n v="2015"/>
    <x v="198"/>
    <n v="14.5"/>
    <n v="9930.0003051757794"/>
    <n v="7.4837899200000004"/>
    <n v="6.4129700660705602"/>
    <n v="6.1500000953674299"/>
    <s v="3.0"/>
    <n v="47.741415719999999"/>
    <n v="658492.84"/>
    <x v="200"/>
    <n v="1562803.02"/>
  </r>
  <r>
    <x v="25"/>
    <s v="KIR"/>
    <x v="4"/>
    <x v="2"/>
    <x v="10"/>
    <n v="2015"/>
    <x v="199"/>
    <n v="3.2"/>
    <n v="59.9999986588955"/>
    <n v="7.9881854099999998"/>
    <n v="9.8629598617553693"/>
    <m/>
    <s v="3.5"/>
    <n v="24.92736807"/>
    <n v="4667.8"/>
    <x v="201"/>
    <n v="34201.300000000003"/>
  </r>
  <r>
    <x v="8"/>
    <s v="LSO"/>
    <x v="1"/>
    <x v="2"/>
    <x v="10"/>
    <n v="2015"/>
    <x v="200"/>
    <n v="30.3"/>
    <n v="649.99997615814198"/>
    <n v="8.9953937499999999"/>
    <n v="9"/>
    <n v="23.840999603271499"/>
    <s v="3.0"/>
    <n v="38.379569269999998"/>
    <n v="171049.25"/>
    <x v="202"/>
    <n v="448728.27"/>
  </r>
  <r>
    <x v="9"/>
    <s v="MDG"/>
    <x v="1"/>
    <x v="1"/>
    <x v="10"/>
    <n v="2015"/>
    <x v="201"/>
    <n v="40.200000000000003"/>
    <n v="3279.9999713897701"/>
    <n v="4.9722447399999998"/>
    <n v="2.2101199626922599"/>
    <n v="1.78999996185303"/>
    <s v="2.5"/>
    <n v="8.7454245959999994"/>
    <n v="577487.78"/>
    <x v="203"/>
    <n v="3673974.47"/>
  </r>
  <r>
    <x v="10"/>
    <s v="MLI"/>
    <x v="1"/>
    <x v="1"/>
    <x v="10"/>
    <n v="2015"/>
    <x v="202"/>
    <n v="3.4"/>
    <n v="3650.0000953674298"/>
    <n v="4.1114335100000003"/>
    <n v="3.8015201091766402"/>
    <n v="7.7300000190734899"/>
    <s v="3.0"/>
    <n v="16.400831069999999"/>
    <n v="734243.79"/>
    <x v="204"/>
    <n v="3002249.94"/>
  </r>
  <r>
    <x v="26"/>
    <s v="MMR"/>
    <x v="4"/>
    <x v="2"/>
    <x v="10"/>
    <n v="2015"/>
    <x v="203"/>
    <n v="4.2"/>
    <n v="19040.0009155273"/>
    <n v="5.4778051400000001"/>
    <n v="2.0999999046325701"/>
    <n v="0.769999980926514"/>
    <s v="3.0"/>
    <n v="60.927299130000002"/>
    <n v="1909908.95"/>
    <x v="205"/>
    <n v="12138060.84"/>
  </r>
  <r>
    <x v="20"/>
    <s v="MNG"/>
    <x v="4"/>
    <x v="2"/>
    <x v="10"/>
    <n v="2015"/>
    <x v="204"/>
    <n v="8.4"/>
    <n v="17299.9992370605"/>
    <n v="4.2383408500000002"/>
    <n v="4.2236199378967303"/>
    <n v="4.8600001335143999"/>
    <s v="3.5"/>
    <n v="48.544634379999998"/>
    <n v="172001.73"/>
    <x v="206"/>
    <n v="741458.44"/>
  </r>
  <r>
    <x v="24"/>
    <s v="MWI"/>
    <x v="1"/>
    <x v="1"/>
    <x v="10"/>
    <n v="2015"/>
    <x v="205"/>
    <n v="16"/>
    <n v="930.00000715255703"/>
    <n v="9.3333406399999994"/>
    <n v="5.60866022109985"/>
    <n v="5.8639998435974103"/>
    <s v="2.5"/>
    <n v="22.948757579999999"/>
    <n v="425979.48"/>
    <x v="207"/>
    <n v="2318005.94"/>
  </r>
  <r>
    <x v="11"/>
    <s v="NPL"/>
    <x v="3"/>
    <x v="2"/>
    <x v="10"/>
    <n v="2015"/>
    <x v="206"/>
    <n v="5.3"/>
    <n v="7190.0000572204599"/>
    <n v="5.4661507599999997"/>
    <n v="3.2590200901031499"/>
    <n v="3.0999999046325701"/>
    <s v="3.0"/>
    <n v="36.857088539999999"/>
    <n v="1391558.42"/>
    <x v="208"/>
    <n v="5255331.43"/>
  </r>
  <r>
    <x v="12"/>
    <s v="SEN"/>
    <x v="1"/>
    <x v="2"/>
    <x v="10"/>
    <n v="2015"/>
    <x v="207"/>
    <n v="10.7"/>
    <n v="9289.9999618530292"/>
    <n v="4.3825731299999999"/>
    <n v="5.4563798904418901"/>
    <n v="6.7600002288818404"/>
    <s v="3.5"/>
    <n v="20.978746650000001"/>
    <n v="331271.48"/>
    <x v="209"/>
    <n v="2091107.35"/>
  </r>
  <r>
    <x v="13"/>
    <s v="SLE"/>
    <x v="1"/>
    <x v="1"/>
    <x v="10"/>
    <n v="2015"/>
    <x v="208"/>
    <n v="25.8"/>
    <n v="910.00002622604404"/>
    <n v="20.413414"/>
    <n v="3.05729007720947"/>
    <n v="4.7420001029968297"/>
    <s v="3.0"/>
    <n v="12.71464273"/>
    <n v="276914.76"/>
    <x v="210"/>
    <n v="1292235.02"/>
  </r>
  <r>
    <x v="14"/>
    <s v="STP"/>
    <x v="1"/>
    <x v="2"/>
    <x v="10"/>
    <n v="2015"/>
    <x v="209"/>
    <n v="12.9"/>
    <n v="119.999997317791"/>
    <n v="5.3400964699999998"/>
    <n v="3.8645999431610099"/>
    <n v="13.8210000991821"/>
    <s v="3.5"/>
    <n v="29.05384394"/>
    <n v="4162.92"/>
    <x v="211"/>
    <n v="31084.18"/>
  </r>
  <r>
    <x v="15"/>
    <s v="TCD"/>
    <x v="1"/>
    <x v="1"/>
    <x v="10"/>
    <n v="2015"/>
    <x v="210"/>
    <n v="28"/>
    <n v="2390.0001049041698"/>
    <n v="4.5239543900000001"/>
    <n v="2.4000000953674299"/>
    <n v="1.07099997997284"/>
    <s v="2.5"/>
    <n v="9.3569730520000007"/>
    <n v="594022.47"/>
    <x v="212"/>
    <n v="2194597.11"/>
  </r>
  <r>
    <x v="16"/>
    <s v="TGO"/>
    <x v="1"/>
    <x v="1"/>
    <x v="10"/>
    <n v="2015"/>
    <x v="211"/>
    <n v="20.5"/>
    <n v="1830.0000429153399"/>
    <n v="4.9564662000000004"/>
    <n v="5.1086001396179199"/>
    <n v="2.2000000476837198"/>
    <s v="2.5"/>
    <n v="8.3216166969999996"/>
    <n v="236202.63"/>
    <x v="213"/>
    <n v="1081590.8899999999"/>
  </r>
  <r>
    <x v="17"/>
    <s v="TZA"/>
    <x v="1"/>
    <x v="2"/>
    <x v="10"/>
    <n v="2015"/>
    <x v="212"/>
    <n v="22.5"/>
    <n v="11689.999580383301"/>
    <n v="3.6496992100000001"/>
    <n v="4.1948699951171902"/>
    <n v="2.1429998874664302"/>
    <s v="3.0"/>
    <n v="22.071758169999999"/>
    <n v="1446560.26"/>
    <x v="214"/>
    <n v="7895135.1900000004"/>
  </r>
  <r>
    <x v="21"/>
    <s v="WSM"/>
    <x v="4"/>
    <x v="2"/>
    <x v="10"/>
    <n v="2015"/>
    <x v="213"/>
    <n v="4.4000000000000004"/>
    <n v="239.999994635582"/>
    <n v="5.7875504500000003"/>
    <n v="4.8577299118042001"/>
    <n v="8.5010004043579102"/>
    <s v="4.0"/>
    <n v="47.86920748"/>
    <n v="6445.02"/>
    <x v="215"/>
    <n v="41367.550000000003"/>
  </r>
  <r>
    <x v="18"/>
    <s v="BGD"/>
    <x v="3"/>
    <x v="2"/>
    <x v="11"/>
    <n v="2016"/>
    <x v="214"/>
    <n v="13.3"/>
    <n v="74379.997253417998"/>
    <n v="2.47291207"/>
    <n v="1.53553998470306"/>
    <n v="4.3499999046325701"/>
    <s v="2.5"/>
    <n v="34.671750690000003"/>
    <n v="3273604.39"/>
    <x v="216"/>
    <n v="26200586.73"/>
  </r>
  <r>
    <x v="3"/>
    <s v="CAF"/>
    <x v="1"/>
    <x v="1"/>
    <x v="11"/>
    <n v="2016"/>
    <x v="215"/>
    <n v="48.6"/>
    <n v="209.99999344348899"/>
    <n v="5.4440031099999997"/>
    <n v="1.75408899784088"/>
    <n v="5.65199995040894"/>
    <s v="2.5"/>
    <n v="14.987157270000001"/>
    <n v="422223.77"/>
    <x v="217"/>
    <n v="956539.23"/>
  </r>
  <r>
    <x v="4"/>
    <s v="DJI"/>
    <x v="2"/>
    <x v="2"/>
    <x v="11"/>
    <n v="2016"/>
    <x v="216"/>
    <n v="13.6"/>
    <n v="419.99998688697798"/>
    <n v="2.7274003000000002"/>
    <n v="3.9243900775909402"/>
    <n v="26.193000793456999"/>
    <s v="2.5"/>
    <n v="34.628763509999999"/>
    <n v="33453.839999999997"/>
    <x v="218"/>
    <n v="164595.32"/>
  </r>
  <r>
    <x v="19"/>
    <s v="ETH"/>
    <x v="1"/>
    <x v="1"/>
    <x v="11"/>
    <n v="2016"/>
    <x v="217"/>
    <n v="14.4"/>
    <n v="14970.000267028799"/>
    <n v="3.60033059"/>
    <n v="5.0615100860595703"/>
    <n v="2.2880001068115199"/>
    <s v="3.0"/>
    <n v="5.8664890620000003"/>
    <n v="2851050.31"/>
    <x v="219"/>
    <n v="12236105.640000001"/>
  </r>
  <r>
    <x v="6"/>
    <s v="GHA"/>
    <x v="1"/>
    <x v="2"/>
    <x v="11"/>
    <n v="2016"/>
    <x v="218"/>
    <n v="7.7"/>
    <n v="16069.999694824201"/>
    <n v="3.4615774199999998"/>
    <n v="4.3945298194885298"/>
    <n v="5.52699995040894"/>
    <s v="3.0"/>
    <n v="11.47145828"/>
    <n v="878314.83"/>
    <x v="220"/>
    <n v="4761360.78"/>
  </r>
  <r>
    <x v="23"/>
    <s v="HND"/>
    <x v="5"/>
    <x v="2"/>
    <x v="11"/>
    <n v="2016"/>
    <x v="219"/>
    <n v="13.8"/>
    <n v="9470.0002670288104"/>
    <n v="7.6909861599999996"/>
    <n v="5.1596198081970197"/>
    <n v="6.7300000190734899"/>
    <s v="3.0"/>
    <n v="48.1578315"/>
    <n v="373951.84"/>
    <x v="221"/>
    <n v="1601073.7"/>
  </r>
  <r>
    <x v="25"/>
    <s v="KIR"/>
    <x v="4"/>
    <x v="2"/>
    <x v="11"/>
    <n v="2016"/>
    <x v="220"/>
    <n v="3.3"/>
    <n v="70.000000298023195"/>
    <n v="9.3203678100000005"/>
    <n v="10.093589782714799"/>
    <m/>
    <s v="3.5"/>
    <n v="25.313232930000002"/>
    <n v="4701.7299999999996"/>
    <x v="222"/>
    <n v="34703.89"/>
  </r>
  <r>
    <x v="8"/>
    <s v="LSO"/>
    <x v="1"/>
    <x v="2"/>
    <x v="11"/>
    <n v="2016"/>
    <x v="221"/>
    <n v="32"/>
    <n v="689.99999761581398"/>
    <n v="8.7597246200000001"/>
    <n v="7.7607498168945304"/>
    <n v="23.475000381469702"/>
    <s v="3.0"/>
    <n v="40.274487809999997"/>
    <n v="169438.9"/>
    <x v="223"/>
    <n v="446822.92"/>
  </r>
  <r>
    <x v="9"/>
    <s v="MDG"/>
    <x v="1"/>
    <x v="1"/>
    <x v="11"/>
    <n v="2016"/>
    <x v="222"/>
    <n v="41.6"/>
    <n v="3180.0000667571999"/>
    <n v="5.25697422"/>
    <n v="2.6871900558471702"/>
    <n v="1.8049999475479099"/>
    <s v="2.5"/>
    <n v="9.0777716300000009"/>
    <n v="576993.67000000004"/>
    <x v="224"/>
    <n v="3759391.31"/>
  </r>
  <r>
    <x v="10"/>
    <s v="MLI"/>
    <x v="1"/>
    <x v="1"/>
    <x v="11"/>
    <n v="2016"/>
    <x v="223"/>
    <n v="3.1"/>
    <n v="4670.0000762939499"/>
    <n v="3.7737739100000001"/>
    <n v="3.0947799682617201"/>
    <n v="7.5700001716613796"/>
    <s v="3.0"/>
    <n v="17.114138709999999"/>
    <n v="785125.44"/>
    <x v="225"/>
    <n v="3201311.76"/>
  </r>
  <r>
    <x v="26"/>
    <s v="MMR"/>
    <x v="4"/>
    <x v="2"/>
    <x v="11"/>
    <n v="2016"/>
    <x v="224"/>
    <n v="3.5"/>
    <n v="21860.000610351599"/>
    <n v="5.1134996399999997"/>
    <n v="1.8999999761581401"/>
    <n v="1.1770000457763701"/>
    <s v="3.0"/>
    <n v="60.89505922"/>
    <n v="1869195.7"/>
    <x v="226"/>
    <n v="12281024.58"/>
  </r>
  <r>
    <x v="20"/>
    <s v="MNG"/>
    <x v="4"/>
    <x v="2"/>
    <x v="11"/>
    <n v="2016"/>
    <x v="225"/>
    <n v="7.4"/>
    <n v="18170.000076293902"/>
    <n v="4.4235563300000003"/>
    <n v="5.1831002235412598"/>
    <n v="7.2399997711181596"/>
    <s v="3.5"/>
    <n v="50.010429590000001"/>
    <n v="171238.58"/>
    <x v="227"/>
    <n v="764574.07"/>
  </r>
  <r>
    <x v="24"/>
    <s v="MWI"/>
    <x v="1"/>
    <x v="1"/>
    <x v="11"/>
    <n v="2016"/>
    <x v="226"/>
    <n v="16.100000000000001"/>
    <n v="1120.00000476837"/>
    <n v="10.879666329999999"/>
    <n v="4.7485699653625497"/>
    <n v="5.8169999122619602"/>
    <s v="2.5"/>
    <n v="23.201409179999999"/>
    <n v="408325.5"/>
    <x v="228"/>
    <n v="2355866.7200000002"/>
  </r>
  <r>
    <x v="11"/>
    <s v="NPL"/>
    <x v="3"/>
    <x v="2"/>
    <x v="11"/>
    <n v="2016"/>
    <x v="227"/>
    <n v="4.5"/>
    <n v="10409.9998474121"/>
    <n v="5.4237980800000001"/>
    <n v="3.90320992469788"/>
    <n v="2.8680000305175799"/>
    <s v="3.0"/>
    <n v="38.968149599999997"/>
    <n v="882345.07"/>
    <x v="229"/>
    <n v="5365146.03"/>
  </r>
  <r>
    <x v="12"/>
    <s v="SEN"/>
    <x v="1"/>
    <x v="2"/>
    <x v="11"/>
    <n v="2016"/>
    <x v="228"/>
    <n v="9.5"/>
    <n v="10130.0001144409"/>
    <n v="4.2607812899999997"/>
    <n v="5.1130900382995597"/>
    <n v="4.46000003814697"/>
    <s v="3.5"/>
    <n v="21.66300532"/>
    <n v="340945.55"/>
    <x v="230"/>
    <n v="2155535.42"/>
  </r>
  <r>
    <x v="13"/>
    <s v="SLE"/>
    <x v="1"/>
    <x v="1"/>
    <x v="11"/>
    <n v="2016"/>
    <x v="229"/>
    <n v="25.9"/>
    <n v="930.00000715255703"/>
    <n v="16.525955199999999"/>
    <n v="3.06023001670837"/>
    <n v="4.6630001068115199"/>
    <s v="3.0"/>
    <n v="12.98034479"/>
    <n v="279141.78999999998"/>
    <x v="231"/>
    <n v="1314401.46"/>
  </r>
  <r>
    <x v="14"/>
    <s v="STP"/>
    <x v="1"/>
    <x v="2"/>
    <x v="11"/>
    <n v="2016"/>
    <x v="230"/>
    <n v="12.9"/>
    <n v="129.99999523162799"/>
    <n v="6.4308881800000002"/>
    <n v="5.1730399131774902"/>
    <n v="13.894000053405801"/>
    <s v="3.5"/>
    <n v="30.17199252"/>
    <n v="4170.6099999999997"/>
    <x v="232"/>
    <n v="31549.51"/>
  </r>
  <r>
    <x v="15"/>
    <s v="TCD"/>
    <x v="1"/>
    <x v="1"/>
    <x v="11"/>
    <n v="2016"/>
    <x v="231"/>
    <n v="28.5"/>
    <n v="2210.0000381469699"/>
    <n v="5.0507750500000004"/>
    <n v="2.2999999523162802"/>
    <n v="1.1039999723434399"/>
    <s v="2.5"/>
    <n v="9.4846988579999998"/>
    <n v="566362.82999999996"/>
    <x v="233"/>
    <n v="2256107.35"/>
  </r>
  <r>
    <x v="16"/>
    <s v="TGO"/>
    <x v="1"/>
    <x v="1"/>
    <x v="11"/>
    <n v="2016"/>
    <x v="232"/>
    <n v="21.2"/>
    <n v="2299.9999523162801"/>
    <n v="5.35245514"/>
    <n v="3.6864900588989302"/>
    <n v="2.9660000801086399"/>
    <s v="2.5"/>
    <n v="8.5164270129999995"/>
    <n v="241851.57"/>
    <x v="234"/>
    <n v="1114774.54"/>
  </r>
  <r>
    <x v="17"/>
    <s v="TZA"/>
    <x v="1"/>
    <x v="2"/>
    <x v="11"/>
    <n v="2016"/>
    <x v="233"/>
    <n v="22.7"/>
    <n v="11199.9998092651"/>
    <n v="3.9635036000000001"/>
    <n v="4.1019701957702601"/>
    <n v="2.1579999923706099"/>
    <s v="3.0"/>
    <n v="23.105933790000002"/>
    <n v="1460702.22"/>
    <x v="235"/>
    <n v="8051900.3700000001"/>
  </r>
  <r>
    <x v="21"/>
    <s v="WSM"/>
    <x v="4"/>
    <x v="2"/>
    <x v="11"/>
    <n v="2016"/>
    <x v="234"/>
    <n v="4.7"/>
    <n v="300.00001192092901"/>
    <n v="5.4250021000000004"/>
    <n v="4.1640601158142099"/>
    <n v="8.3070001602172905"/>
    <s v="4.0"/>
    <n v="47.804642139999999"/>
    <n v="6538.85"/>
    <x v="236"/>
    <n v="41984.04"/>
  </r>
  <r>
    <x v="3"/>
    <s v="CAF"/>
    <x v="1"/>
    <x v="1"/>
    <x v="12"/>
    <n v="2017"/>
    <x v="235"/>
    <n v="46.1"/>
    <n v="219.99999880790699"/>
    <n v="6.6654377"/>
    <n v="1.75365018844604"/>
    <n v="5.6479997634887704"/>
    <s v="2.5"/>
    <n v="14.637592250000001"/>
    <n v="518597.96"/>
    <x v="237"/>
    <n v="970329.56"/>
  </r>
  <r>
    <x v="4"/>
    <s v="DJI"/>
    <x v="2"/>
    <x v="2"/>
    <x v="12"/>
    <n v="2017"/>
    <x v="236"/>
    <n v="13.5"/>
    <n v="419.99998688697798"/>
    <n v="2.46476841"/>
    <n v="3.7485599517822301"/>
    <n v="26.059999465942401"/>
    <s v="2.5"/>
    <n v="35.43612633"/>
    <n v="34283.22"/>
    <x v="238"/>
    <n v="170428.77"/>
  </r>
  <r>
    <x v="19"/>
    <s v="ETH"/>
    <x v="1"/>
    <x v="1"/>
    <x v="12"/>
    <n v="2017"/>
    <x v="237"/>
    <n v="15.7"/>
    <n v="15819.999694824201"/>
    <n v="3.4533615100000001"/>
    <n v="5.6495199203491202"/>
    <n v="2.29900002479553"/>
    <s v="3.0"/>
    <n v="6.0743566920000003"/>
    <n v="2836330.73"/>
    <x v="239"/>
    <n v="12572982.27"/>
  </r>
  <r>
    <x v="6"/>
    <s v="GHA"/>
    <x v="1"/>
    <x v="2"/>
    <x v="12"/>
    <n v="2017"/>
    <x v="238"/>
    <n v="7.1"/>
    <n v="17010.0002288818"/>
    <n v="3.3579633200000001"/>
    <n v="3.53362989425659"/>
    <n v="4.2199997901916504"/>
    <s v="3.5"/>
    <n v="11.93857292"/>
    <n v="892797.03"/>
    <x v="240"/>
    <n v="4884650.97"/>
  </r>
  <r>
    <x v="23"/>
    <s v="HND"/>
    <x v="5"/>
    <x v="2"/>
    <x v="12"/>
    <n v="2017"/>
    <x v="239"/>
    <n v="13.2"/>
    <n v="9260.0002288818396"/>
    <n v="6.9899668699999999"/>
    <n v="4.9370198249816903"/>
    <n v="5.5300002098083496"/>
    <s v="3.0"/>
    <n v="48.559040799999998"/>
    <n v="380152.5"/>
    <x v="241"/>
    <n v="1640631.66"/>
  </r>
  <r>
    <x v="25"/>
    <s v="KIR"/>
    <x v="4"/>
    <x v="2"/>
    <x v="12"/>
    <n v="2017"/>
    <x v="240"/>
    <n v="3.4"/>
    <n v="90.000003576278701"/>
    <n v="10.68678665"/>
    <n v="10.8631601333618"/>
    <m/>
    <s v="3.5"/>
    <n v="25.67971129"/>
    <n v="4732.54"/>
    <x v="242"/>
    <n v="35198.730000000003"/>
  </r>
  <r>
    <x v="8"/>
    <s v="LSO"/>
    <x v="1"/>
    <x v="2"/>
    <x v="12"/>
    <n v="2017"/>
    <x v="241"/>
    <n v="29.5"/>
    <n v="699.99998807907104"/>
    <n v="10.08778667"/>
    <n v="8.1568899154663104"/>
    <n v="23.200000762939499"/>
    <s v="3.0"/>
    <n v="42.146562809999999"/>
    <n v="168813.85"/>
    <x v="243"/>
    <n v="445954.55"/>
  </r>
  <r>
    <x v="9"/>
    <s v="MDG"/>
    <x v="1"/>
    <x v="1"/>
    <x v="12"/>
    <n v="2017"/>
    <x v="242"/>
    <n v="42.3"/>
    <n v="3470.0000286102299"/>
    <n v="4.8443155300000003"/>
    <n v="2.7013742923736599"/>
    <n v="1.8229999542236299"/>
    <s v="2.5"/>
    <n v="9.4073083610000001"/>
    <n v="590791.34"/>
    <x v="244"/>
    <n v="3854013.73"/>
  </r>
  <r>
    <x v="10"/>
    <s v="MLI"/>
    <x v="1"/>
    <x v="1"/>
    <x v="12"/>
    <n v="2017"/>
    <x v="243"/>
    <n v="3.1"/>
    <n v="5179.9998283386203"/>
    <n v="3.67425632"/>
    <n v="3.7897698879241899"/>
    <n v="7.4099998474121103"/>
    <s v="3.0"/>
    <n v="17.827597770000001"/>
    <n v="861303.54"/>
    <x v="245"/>
    <n v="3330760.45"/>
  </r>
  <r>
    <x v="26"/>
    <s v="MMR"/>
    <x v="4"/>
    <x v="2"/>
    <x v="12"/>
    <n v="2017"/>
    <x v="244"/>
    <n v="3"/>
    <n v="32500"/>
    <n v="5.0806574800000002"/>
    <n v="2.3263399600982702"/>
    <n v="1.5599999427795399"/>
    <s v="2.5"/>
    <n v="60.858049389999998"/>
    <n v="2327896.89"/>
    <x v="246"/>
    <n v="12423589.640000001"/>
  </r>
  <r>
    <x v="20"/>
    <s v="MNG"/>
    <x v="4"/>
    <x v="2"/>
    <x v="12"/>
    <n v="2017"/>
    <x v="245"/>
    <n v="6.3"/>
    <n v="19579.999923706098"/>
    <n v="4.0050602"/>
    <n v="4.06897020339966"/>
    <n v="6.3600001335143999"/>
    <s v="3.5"/>
    <n v="51.495918449999998"/>
    <n v="173870.3"/>
    <x v="247"/>
    <n v="788018.91"/>
  </r>
  <r>
    <x v="24"/>
    <s v="MWI"/>
    <x v="1"/>
    <x v="1"/>
    <x v="12"/>
    <n v="2017"/>
    <x v="246"/>
    <n v="16.600000000000001"/>
    <n v="1190.0000572204599"/>
    <n v="10.88755989"/>
    <n v="4.0313301086425799"/>
    <n v="5.7600002288818404"/>
    <s v="2.5"/>
    <n v="23.45407277"/>
    <n v="406598.03"/>
    <x v="248"/>
    <n v="2389662.7599999998"/>
  </r>
  <r>
    <x v="11"/>
    <s v="NPL"/>
    <x v="3"/>
    <x v="2"/>
    <x v="12"/>
    <n v="2017"/>
    <x v="247"/>
    <n v="4.2"/>
    <n v="12479.999542236301"/>
    <n v="4.72173262"/>
    <n v="4.7672200202941903"/>
    <n v="3.3180000782012899"/>
    <s v="3.0"/>
    <n v="41.115479700000002"/>
    <n v="885689.55"/>
    <x v="249"/>
    <n v="5479328.3200000003"/>
  </r>
  <r>
    <x v="12"/>
    <s v="SEN"/>
    <x v="1"/>
    <x v="2"/>
    <x v="12"/>
    <n v="2017"/>
    <x v="95"/>
    <n v="8.5"/>
    <n v="9800.0001907348596"/>
    <n v="3.9970748399999998"/>
    <n v="4.6249699592590297"/>
    <n v="3.6900000572204599"/>
    <s v="3.5"/>
    <n v="22.35530807"/>
    <n v="344250.34"/>
    <x v="250"/>
    <n v="2177014.17"/>
  </r>
  <r>
    <x v="13"/>
    <s v="SLE"/>
    <x v="1"/>
    <x v="1"/>
    <x v="12"/>
    <n v="2017"/>
    <x v="248"/>
    <n v="27.2"/>
    <n v="939.99999761581398"/>
    <n v="9.3997602499999999"/>
    <n v="4.6609601974487296"/>
    <n v="4.6630001068115199"/>
    <s v="3.0"/>
    <n v="13.24676127"/>
    <n v="370362.06"/>
    <x v="251"/>
    <n v="1345818.13"/>
  </r>
  <r>
    <x v="14"/>
    <s v="STP"/>
    <x v="1"/>
    <x v="2"/>
    <x v="12"/>
    <n v="2017"/>
    <x v="249"/>
    <n v="12.5"/>
    <n v="140.00000059604599"/>
    <n v="6.4609160399999999"/>
    <n v="5.0363698005676296"/>
    <n v="13.9739999771118"/>
    <s v="3.5"/>
    <n v="31.291807739999999"/>
    <n v="4243.95"/>
    <x v="252"/>
    <n v="32227.24"/>
  </r>
  <r>
    <x v="15"/>
    <s v="TCD"/>
    <x v="1"/>
    <x v="1"/>
    <x v="12"/>
    <n v="2017"/>
    <x v="250"/>
    <n v="29.1"/>
    <n v="2150.0000953674298"/>
    <n v="4.5572290400000002"/>
    <n v="2.4548199176788299"/>
    <n v="1.1189999580383301"/>
    <s v="2.5"/>
    <n v="9.6257690720000006"/>
    <n v="583681.28000000003"/>
    <x v="253"/>
    <n v="2323389.14"/>
  </r>
  <r>
    <x v="16"/>
    <s v="TGO"/>
    <x v="1"/>
    <x v="1"/>
    <x v="12"/>
    <n v="2017"/>
    <x v="251"/>
    <n v="21"/>
    <n v="2069.9999332428001"/>
    <n v="6.4938774099999996"/>
    <n v="3.7605299949646001"/>
    <n v="3.7400000095367401"/>
    <s v="3.0"/>
    <n v="8.7118463930000001"/>
    <n v="247347.61"/>
    <x v="254"/>
    <n v="1146840.78"/>
  </r>
  <r>
    <x v="17"/>
    <s v="TZA"/>
    <x v="1"/>
    <x v="2"/>
    <x v="12"/>
    <n v="2017"/>
    <x v="252"/>
    <n v="23"/>
    <n v="11829.9999237061"/>
    <n v="4.0825743699999997"/>
    <n v="4.4305100440979004"/>
    <n v="2.1770000457763699"/>
    <s v="3.0"/>
    <n v="24.144986899999999"/>
    <n v="1483112.46"/>
    <x v="255"/>
    <n v="8207830.2999999998"/>
  </r>
  <r>
    <x v="21"/>
    <s v="WSM"/>
    <x v="4"/>
    <x v="2"/>
    <x v="12"/>
    <n v="2017"/>
    <x v="253"/>
    <n v="4.5999999999999996"/>
    <n v="310.00000238418602"/>
    <n v="5.5675072700000001"/>
    <n v="4.1831598281860396"/>
    <n v="8.5780000686645508"/>
    <s v="4.0"/>
    <n v="47.740110090000002"/>
    <n v="6621.84"/>
    <x v="256"/>
    <n v="42609.98"/>
  </r>
  <r>
    <x v="3"/>
    <s v="CAF"/>
    <x v="1"/>
    <x v="1"/>
    <x v="13"/>
    <n v="2018"/>
    <x v="254"/>
    <n v="46.8"/>
    <n v="230.00000417232499"/>
    <n v="10.99530983"/>
    <n v="1.5658760070800799"/>
    <n v="5.6050000190734899"/>
    <s v="2.5"/>
    <n v="14.290697059999999"/>
    <n v="422377.57"/>
    <x v="257"/>
    <n v="985014.99"/>
  </r>
  <r>
    <x v="4"/>
    <s v="DJI"/>
    <x v="2"/>
    <x v="2"/>
    <x v="13"/>
    <n v="2018"/>
    <x v="255"/>
    <n v="13.1"/>
    <n v="400.00000596046402"/>
    <n v="2.26254249"/>
    <n v="3.62773990631104"/>
    <n v="26.188999176025401"/>
    <s v="2.5"/>
    <n v="36.24306807"/>
    <n v="35176.17"/>
    <x v="258"/>
    <n v="176511.42"/>
  </r>
  <r>
    <x v="19"/>
    <s v="ETH"/>
    <x v="1"/>
    <x v="1"/>
    <x v="13"/>
    <n v="2018"/>
    <x v="256"/>
    <n v="18.2"/>
    <n v="17239.9997711182"/>
    <n v="3.3081870100000002"/>
    <n v="5.0686798095703098"/>
    <n v="2.3180000782012899"/>
    <s v="3.0"/>
    <n v="6.2790536159999997"/>
    <n v="2880294.65"/>
    <x v="259"/>
    <n v="12862187.57"/>
  </r>
  <r>
    <x v="6"/>
    <s v="GHA"/>
    <x v="1"/>
    <x v="2"/>
    <x v="13"/>
    <n v="2018"/>
    <x v="257"/>
    <n v="6.2"/>
    <n v="18680.000305175799"/>
    <n v="3.48865867"/>
    <n v="3.8861300945282"/>
    <n v="4.27600002288818"/>
    <s v="3.5"/>
    <n v="12.4033639"/>
    <n v="866262.23"/>
    <x v="260"/>
    <n v="4906354.3"/>
  </r>
  <r>
    <x v="23"/>
    <s v="HND"/>
    <x v="5"/>
    <x v="2"/>
    <x v="13"/>
    <n v="2018"/>
    <x v="258"/>
    <n v="13.1"/>
    <n v="10050.0001907349"/>
    <n v="7.2189197500000004"/>
    <n v="6.0564699172973597"/>
    <n v="5.6500000953674299"/>
    <s v="3.0"/>
    <n v="48.945527300000002"/>
    <n v="385545.09"/>
    <x v="261"/>
    <n v="1682928.09"/>
  </r>
  <r>
    <x v="25"/>
    <s v="KIR"/>
    <x v="4"/>
    <x v="2"/>
    <x v="13"/>
    <n v="2018"/>
    <x v="259"/>
    <n v="3.9"/>
    <n v="90.000003576278701"/>
    <n v="11.6983633"/>
    <n v="11.968290328979499"/>
    <m/>
    <s v="3.5"/>
    <n v="26.027003359999998"/>
    <n v="9076.5499999999993"/>
    <x v="262"/>
    <n v="35768.49"/>
  </r>
  <r>
    <x v="8"/>
    <s v="LSO"/>
    <x v="1"/>
    <x v="2"/>
    <x v="13"/>
    <n v="2018"/>
    <x v="260"/>
    <n v="28.7"/>
    <n v="730.00001907348599"/>
    <n v="10.90125179"/>
    <n v="7.2853598594665501"/>
    <n v="22.8129997253418"/>
    <s v="3.0"/>
    <n v="43.995229969999997"/>
    <n v="169577.15"/>
    <x v="263"/>
    <n v="448950.43"/>
  </r>
  <r>
    <x v="9"/>
    <s v="MDG"/>
    <x v="1"/>
    <x v="1"/>
    <x v="13"/>
    <n v="2018"/>
    <x v="261"/>
    <n v="44.3"/>
    <n v="3349.9999046325702"/>
    <n v="4.1978731199999997"/>
    <n v="2.8440999984741202"/>
    <n v="1.84300005435944"/>
    <s v="2.5"/>
    <n v="9.7340575660000006"/>
    <n v="596802.28"/>
    <x v="264"/>
    <n v="3952185.36"/>
  </r>
  <r>
    <x v="10"/>
    <s v="MLI"/>
    <x v="1"/>
    <x v="1"/>
    <x v="13"/>
    <n v="2018"/>
    <x v="262"/>
    <n v="3.4"/>
    <n v="5469.9997901916504"/>
    <n v="3.7324986500000001"/>
    <n v="3.9055650234222399"/>
    <n v="7.42799997329712"/>
    <s v="3.0"/>
    <n v="18.532570960000001"/>
    <n v="959531.67"/>
    <x v="265"/>
    <n v="3408505.59"/>
  </r>
  <r>
    <x v="26"/>
    <s v="MMR"/>
    <x v="4"/>
    <x v="2"/>
    <x v="13"/>
    <n v="2018"/>
    <x v="263"/>
    <n v="2.6"/>
    <n v="32939.998626708999"/>
    <n v="4.8999214200000001"/>
    <n v="2.1574800014495898"/>
    <n v="0.87000000476837203"/>
    <s v="2.5"/>
    <n v="60.815724090000003"/>
    <n v="1727609.25"/>
    <x v="266"/>
    <n v="12563638.49"/>
  </r>
  <r>
    <x v="20"/>
    <s v="MNG"/>
    <x v="4"/>
    <x v="2"/>
    <x v="13"/>
    <n v="2018"/>
    <x v="264"/>
    <n v="5.5"/>
    <n v="21549.9992370605"/>
    <n v="3.85443377"/>
    <n v="6.1730198860168501"/>
    <n v="5.3800001144409197"/>
    <s v="3.0"/>
    <n v="53.00287453"/>
    <n v="174178.57"/>
    <x v="267"/>
    <n v="810397.74"/>
  </r>
  <r>
    <x v="24"/>
    <s v="MWI"/>
    <x v="1"/>
    <x v="1"/>
    <x v="13"/>
    <n v="2018"/>
    <x v="265"/>
    <n v="16.8"/>
    <n v="1379.99999523163"/>
    <n v="9.8289899799999993"/>
    <n v="3.3229598999023402"/>
    <n v="5.7579998970031703"/>
    <s v="2.5"/>
    <n v="23.706631770000001"/>
    <n v="414839.88"/>
    <x v="268"/>
    <n v="2456336.86"/>
  </r>
  <r>
    <x v="11"/>
    <s v="NPL"/>
    <x v="3"/>
    <x v="2"/>
    <x v="13"/>
    <n v="2018"/>
    <x v="266"/>
    <n v="4.3"/>
    <n v="15189.999580383301"/>
    <n v="4.5284523999999999"/>
    <n v="4.4344501495361301"/>
    <n v="3.1930000782012899"/>
    <s v="3.0"/>
    <n v="43.298518909999999"/>
    <n v="879337.45"/>
    <x v="269"/>
    <n v="5582374.8399999999"/>
  </r>
  <r>
    <x v="12"/>
    <s v="SEN"/>
    <x v="1"/>
    <x v="2"/>
    <x v="13"/>
    <n v="2018"/>
    <x v="267"/>
    <n v="7.8"/>
    <n v="10180.000305175799"/>
    <n v="4.2382574100000001"/>
    <n v="4.8582201004028303"/>
    <n v="3.2750000953674299"/>
    <s v="3.5"/>
    <n v="23.055708889999998"/>
    <n v="336993.39"/>
    <x v="270"/>
    <n v="2179622.92"/>
  </r>
  <r>
    <x v="13"/>
    <s v="SLE"/>
    <x v="1"/>
    <x v="1"/>
    <x v="13"/>
    <n v="2018"/>
    <x v="268"/>
    <n v="27.7"/>
    <n v="860.00001430511497"/>
    <n v="8.2898740800000006"/>
    <n v="6.9896302223205602"/>
    <n v="4.6599998474121103"/>
    <s v="3.0"/>
    <n v="13.513977049999999"/>
    <n v="289937.46999999997"/>
    <x v="271"/>
    <n v="1377250.05"/>
  </r>
  <r>
    <x v="14"/>
    <s v="STP"/>
    <x v="1"/>
    <x v="2"/>
    <x v="13"/>
    <n v="2018"/>
    <x v="269"/>
    <n v="12.8"/>
    <n v="140.00000059604599"/>
    <n v="5.8436980199999997"/>
    <n v="5.2351098060607901"/>
    <n v="14.0609998703003"/>
    <s v="3.5"/>
    <n v="32.413148280000001"/>
    <n v="4266.3599999999997"/>
    <x v="272"/>
    <n v="32774.21"/>
  </r>
  <r>
    <x v="15"/>
    <s v="TCD"/>
    <x v="1"/>
    <x v="1"/>
    <x v="13"/>
    <n v="2018"/>
    <x v="270"/>
    <n v="30.3"/>
    <n v="2190.0000572204599"/>
    <n v="4.1669444999999996"/>
    <n v="2.2594799995422399"/>
    <n v="1.12999999523163"/>
    <s v="2.5"/>
    <n v="9.7811072029999995"/>
    <n v="614004.43000000005"/>
    <x v="273"/>
    <n v="2393364.23"/>
  </r>
  <r>
    <x v="16"/>
    <s v="TGO"/>
    <x v="1"/>
    <x v="1"/>
    <x v="13"/>
    <n v="2018"/>
    <x v="271"/>
    <n v="20.7"/>
    <n v="2309.9999427795401"/>
    <n v="6.0874776800000001"/>
    <n v="4.0439400672912598"/>
    <n v="3.7290000915527299"/>
    <s v="3.0"/>
    <n v="8.9077059849999998"/>
    <n v="245884.96"/>
    <x v="274"/>
    <n v="1165497.78"/>
  </r>
  <r>
    <x v="17"/>
    <s v="TZA"/>
    <x v="1"/>
    <x v="2"/>
    <x v="13"/>
    <n v="2018"/>
    <x v="272"/>
    <n v="23.3"/>
    <n v="12000"/>
    <n v="4.1536302599999999"/>
    <n v="3.69643998146057"/>
    <n v="2.2060000896453902"/>
    <s v="2.5"/>
    <n v="25.189090889999999"/>
    <n v="1489983.48"/>
    <x v="275"/>
    <n v="8338480.2300000004"/>
  </r>
  <r>
    <x v="21"/>
    <s v="WSM"/>
    <x v="4"/>
    <x v="2"/>
    <x v="13"/>
    <n v="2018"/>
    <x v="273"/>
    <n v="4.5"/>
    <n v="289.99999165535002"/>
    <n v="5.4719109499999998"/>
    <n v="4.5321497917175302"/>
    <n v="8.6859998703002894"/>
    <s v="4.0"/>
    <n v="47.6734285"/>
    <n v="6710.32"/>
    <x v="276"/>
    <n v="43300.480000000003"/>
  </r>
  <r>
    <x v="18"/>
    <s v="BGD"/>
    <x v="3"/>
    <x v="2"/>
    <x v="14"/>
    <n v="2019"/>
    <x v="274"/>
    <n v="11"/>
    <n v="90739.997863769502"/>
    <n v="2.4835760599999999"/>
    <n v="1.3263200521469101"/>
    <n v="4.4380002021789604"/>
    <s v="2.5"/>
    <n v="37.684883579999997"/>
    <n v="3193719.6"/>
    <x v="277"/>
    <n v="28256673.899999999"/>
  </r>
  <r>
    <x v="3"/>
    <s v="CAF"/>
    <x v="1"/>
    <x v="1"/>
    <x v="14"/>
    <n v="2019"/>
    <x v="275"/>
    <n v="49.2"/>
    <n v="239.999994635582"/>
    <n v="7.7530088399999997"/>
    <n v="1.7687122821807899"/>
    <n v="5.6230001449584996"/>
    <s v="2.5"/>
    <n v="13.946192330000001"/>
    <n v="388818.06"/>
    <x v="278"/>
    <n v="1000223.98"/>
  </r>
  <r>
    <x v="23"/>
    <s v="HND"/>
    <x v="5"/>
    <x v="2"/>
    <x v="14"/>
    <n v="2019"/>
    <x v="276"/>
    <n v="13.3"/>
    <n v="10220.000267028799"/>
    <n v="7.2839178999999996"/>
    <n v="4.9128499031066903"/>
    <n v="5.6999998092651403"/>
    <s v="2.5"/>
    <n v="49.317481030000003"/>
    <n v="392599.94"/>
    <x v="279"/>
    <n v="1726716.98"/>
  </r>
  <r>
    <x v="25"/>
    <s v="KIR"/>
    <x v="4"/>
    <x v="2"/>
    <x v="14"/>
    <n v="2019"/>
    <x v="277"/>
    <n v="4"/>
    <n v="90.000003576278701"/>
    <n v="10.26414394"/>
    <n v="12.394659996032701"/>
    <m/>
    <s v="3.5"/>
    <n v="26.355274080000001"/>
    <n v="4687.1099999999997"/>
    <x v="280"/>
    <n v="36285.96"/>
  </r>
  <r>
    <x v="8"/>
    <s v="LSO"/>
    <x v="1"/>
    <x v="2"/>
    <x v="14"/>
    <n v="2019"/>
    <x v="278"/>
    <n v="31.2"/>
    <n v="769.99998092651401"/>
    <n v="11.26946354"/>
    <n v="7.9917120933532697"/>
    <n v="22.440000534057599"/>
    <s v="3.0"/>
    <n v="45.820400470000003"/>
    <n v="170550.1"/>
    <x v="281"/>
    <n v="454034.4"/>
  </r>
  <r>
    <x v="9"/>
    <s v="MDG"/>
    <x v="1"/>
    <x v="1"/>
    <x v="14"/>
    <n v="2019"/>
    <x v="279"/>
    <n v="47.4"/>
    <n v="4119.9998855590802"/>
    <n v="3.6872837500000002"/>
    <n v="2.9948587417602499"/>
    <n v="1.85699999332428"/>
    <s v="2.5"/>
    <n v="10.057916730000001"/>
    <n v="596008.21"/>
    <x v="282"/>
    <n v="4045294.79"/>
  </r>
  <r>
    <x v="10"/>
    <s v="MLI"/>
    <x v="1"/>
    <x v="1"/>
    <x v="14"/>
    <n v="2019"/>
    <x v="280"/>
    <n v="5.6"/>
    <n v="5829.9999237060501"/>
    <n v="3.8938984900000002"/>
    <n v="3.48410224914551"/>
    <n v="7.4419999122619602"/>
    <s v="3.0"/>
    <n v="19.229037689999998"/>
    <n v="917064.7"/>
    <x v="283"/>
    <n v="3483913.85"/>
  </r>
  <r>
    <x v="26"/>
    <s v="MMR"/>
    <x v="4"/>
    <x v="2"/>
    <x v="14"/>
    <n v="2019"/>
    <x v="281"/>
    <n v="2.5"/>
    <n v="36720.001220703103"/>
    <n v="4.6785640700000002"/>
    <n v="2.1398699283599898"/>
    <n v="0.5"/>
    <s v="2.5"/>
    <n v="60.767666339999998"/>
    <n v="1730115.29"/>
    <x v="284"/>
    <n v="12699265.84"/>
  </r>
  <r>
    <x v="20"/>
    <s v="MNG"/>
    <x v="4"/>
    <x v="2"/>
    <x v="14"/>
    <n v="2019"/>
    <x v="282"/>
    <n v="4"/>
    <n v="23069.999694824201"/>
    <n v="3.7660782300000002"/>
    <n v="4.9408898353576696"/>
    <n v="5.4390001296997097"/>
    <s v="3.0"/>
    <n v="54.529523470000001"/>
    <n v="174613.69"/>
    <x v="285"/>
    <n v="835408.23"/>
  </r>
  <r>
    <x v="24"/>
    <s v="MWI"/>
    <x v="1"/>
    <x v="1"/>
    <x v="14"/>
    <n v="2019"/>
    <x v="283"/>
    <n v="17.600000000000001"/>
    <n v="1450.0000476837199"/>
    <n v="7.3934116400000001"/>
    <n v="3.7113199234008798"/>
    <n v="5.7519998550415004"/>
    <s v="2.5"/>
    <n v="23.958932140000002"/>
    <n v="421938.54"/>
    <x v="286"/>
    <n v="2516337.9900000002"/>
  </r>
  <r>
    <x v="11"/>
    <s v="NPL"/>
    <x v="3"/>
    <x v="2"/>
    <x v="14"/>
    <n v="2019"/>
    <x v="284"/>
    <n v="4.8"/>
    <n v="13449.9998092651"/>
    <n v="4.4451508500000001"/>
    <n v="4.2399997711181596"/>
    <n v="3.0969998836517298"/>
    <s v="3.0"/>
    <n v="45.516779120000002"/>
    <n v="888008.1"/>
    <x v="287"/>
    <n v="5685683.2300000004"/>
  </r>
  <r>
    <x v="12"/>
    <s v="SEN"/>
    <x v="1"/>
    <x v="2"/>
    <x v="14"/>
    <n v="2019"/>
    <x v="285"/>
    <n v="7.4"/>
    <n v="10619.9998855591"/>
    <n v="4.1322693800000003"/>
    <n v="5.3488750457763699"/>
    <n v="2.8599998950958301"/>
    <s v="3.5"/>
    <n v="23.764269349999999"/>
    <n v="334986.7"/>
    <x v="288"/>
    <n v="2219121.17"/>
  </r>
  <r>
    <x v="13"/>
    <s v="SLE"/>
    <x v="1"/>
    <x v="1"/>
    <x v="14"/>
    <n v="2019"/>
    <x v="286"/>
    <n v="27.9"/>
    <n v="899.99997615814198"/>
    <n v="8.7497663499999998"/>
    <n v="7.4470100402831996"/>
    <n v="4.6490001678466797"/>
    <s v="3.0"/>
    <n v="13.78175184"/>
    <n v="290513.5"/>
    <x v="289"/>
    <n v="1399862.43"/>
  </r>
  <r>
    <x v="14"/>
    <s v="STP"/>
    <x v="1"/>
    <x v="2"/>
    <x v="14"/>
    <n v="2019"/>
    <x v="287"/>
    <n v="13"/>
    <n v="150.00000596046399"/>
    <n v="5.52976227"/>
    <n v="5.9215497970581099"/>
    <n v="14.144000053405801"/>
    <s v="3.5"/>
    <n v="33.535911179999999"/>
    <n v="4293.1000000000004"/>
    <x v="290"/>
    <n v="33337.54"/>
  </r>
  <r>
    <x v="15"/>
    <s v="TCD"/>
    <x v="1"/>
    <x v="1"/>
    <x v="14"/>
    <n v="2019"/>
    <x v="288"/>
    <n v="31.7"/>
    <n v="2250"/>
    <n v="4.3536314999999997"/>
    <n v="2.3724598884582502"/>
    <n v="1.1230000257492101"/>
    <s v="2.5"/>
    <n v="9.9511358340000005"/>
    <n v="626720.09"/>
    <x v="291"/>
    <n v="2459705.38"/>
  </r>
  <r>
    <x v="16"/>
    <s v="TGO"/>
    <x v="1"/>
    <x v="1"/>
    <x v="14"/>
    <n v="2019"/>
    <x v="184"/>
    <n v="20.100000000000001"/>
    <n v="2369.9998855590802"/>
    <n v="5.72606897"/>
    <n v="4.0691432952880904"/>
    <n v="3.7190001010894802"/>
    <s v="3.0"/>
    <n v="9.1038341729999992"/>
    <n v="246081.26"/>
    <x v="292"/>
    <n v="1190315.76"/>
  </r>
  <r>
    <x v="17"/>
    <s v="TZA"/>
    <x v="1"/>
    <x v="2"/>
    <x v="14"/>
    <n v="2019"/>
    <x v="289"/>
    <n v="23.4"/>
    <n v="12449.9998092651"/>
    <n v="3.82769322"/>
    <n v="3.5968363285064702"/>
    <n v="2.2219998836517298"/>
    <s v="3.0"/>
    <n v="26.238277579999998"/>
    <n v="1478236.12"/>
    <x v="293"/>
    <n v="8469064.3699999992"/>
  </r>
  <r>
    <x v="21"/>
    <s v="WSM"/>
    <x v="4"/>
    <x v="2"/>
    <x v="14"/>
    <n v="2019"/>
    <x v="290"/>
    <n v="4.4000000000000004"/>
    <n v="300.00001192092901"/>
    <n v="6.3630938500000003"/>
    <n v="4.7062501907348597"/>
    <n v="8.4060001373290998"/>
    <s v="4.0"/>
    <n v="47.698788329999999"/>
    <n v="6652.84"/>
    <x v="294"/>
    <n v="43798.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5253EA-F165-41B8-8612-4D7DD8C87092}"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0">
  <location ref="H13:I19" firstHeaderRow="1" firstDataRow="1" firstDataCol="1"/>
  <pivotFields count="17">
    <pivotField axis="axisRow" showAll="0" measureFilter="1">
      <items count="28">
        <item x="0"/>
        <item x="1"/>
        <item x="2"/>
        <item x="18"/>
        <item x="22"/>
        <item x="3"/>
        <item x="15"/>
        <item x="4"/>
        <item x="19"/>
        <item x="5"/>
        <item x="6"/>
        <item x="23"/>
        <item x="7"/>
        <item x="25"/>
        <item x="8"/>
        <item x="9"/>
        <item x="24"/>
        <item x="10"/>
        <item x="20"/>
        <item x="26"/>
        <item x="11"/>
        <item x="21"/>
        <item x="14"/>
        <item x="12"/>
        <item x="13"/>
        <item x="17"/>
        <item x="16"/>
        <item t="default"/>
      </items>
    </pivotField>
    <pivotField showAll="0"/>
    <pivotField showAll="0">
      <items count="7">
        <item x="4"/>
        <item x="0"/>
        <item x="5"/>
        <item x="2"/>
        <item x="3"/>
        <item x="1"/>
        <item t="default"/>
      </items>
    </pivotField>
    <pivotField showAll="0">
      <items count="4">
        <item x="1"/>
        <item x="2"/>
        <item x="0"/>
        <item t="default"/>
      </items>
    </pivotField>
    <pivotField numFmtId="14" showAll="0">
      <items count="16">
        <item x="0"/>
        <item x="1"/>
        <item x="2"/>
        <item x="3"/>
        <item x="4"/>
        <item x="5"/>
        <item x="6"/>
        <item x="7"/>
        <item x="8"/>
        <item x="9"/>
        <item x="10"/>
        <item x="11"/>
        <item x="12"/>
        <item x="13"/>
        <item x="14"/>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0"/>
  </rowFields>
  <rowItems count="6">
    <i>
      <x v="5"/>
    </i>
    <i>
      <x v="6"/>
    </i>
    <i>
      <x v="7"/>
    </i>
    <i>
      <x v="15"/>
    </i>
    <i>
      <x v="24"/>
    </i>
    <i t="grand">
      <x/>
    </i>
  </rowItems>
  <colItems count="1">
    <i/>
  </colItems>
  <dataFields count="1">
    <dataField name="Average of Prevelance of Undernourishment" fld="7" subtotal="average" baseField="0" baseItem="0"/>
  </dataFields>
  <formats count="6">
    <format dxfId="5">
      <pivotArea collapsedLevelsAreSubtotals="1" fieldPosition="0">
        <references count="1">
          <reference field="0" count="1">
            <x v="0"/>
          </reference>
        </references>
      </pivotArea>
    </format>
    <format dxfId="4">
      <pivotArea dataOnly="0" labelOnly="1" fieldPosition="0">
        <references count="1">
          <reference field="0" count="1">
            <x v="0"/>
          </reference>
        </references>
      </pivotArea>
    </format>
    <format dxfId="3">
      <pivotArea collapsedLevelsAreSubtotals="1" fieldPosition="0">
        <references count="1">
          <reference field="0" count="1">
            <x v="0"/>
          </reference>
        </references>
      </pivotArea>
    </format>
    <format dxfId="2">
      <pivotArea field="0" type="button" dataOnly="0" labelOnly="1" outline="0" axis="axisRow" fieldPosition="0"/>
    </format>
    <format dxfId="1">
      <pivotArea dataOnly="0" labelOnly="1" fieldPosition="0">
        <references count="1">
          <reference field="0" count="1">
            <x v="0"/>
          </reference>
        </references>
      </pivotArea>
    </format>
    <format dxfId="0">
      <pivotArea dataOnly="0" labelOnly="1" outline="0" axis="axisValues" fieldPosition="0"/>
    </format>
  </formats>
  <chartFormats count="21">
    <chartFormat chart="15" format="0" series="1">
      <pivotArea type="data" outline="0" fieldPosition="0">
        <references count="1">
          <reference field="4294967294" count="1" selected="0">
            <x v="0"/>
          </reference>
        </references>
      </pivotArea>
    </chartFormat>
    <chartFormat chart="21" format="7" series="1">
      <pivotArea type="data" outline="0" fieldPosition="0">
        <references count="1">
          <reference field="4294967294" count="1" selected="0">
            <x v="0"/>
          </reference>
        </references>
      </pivotArea>
    </chartFormat>
    <chartFormat chart="21" format="8">
      <pivotArea type="data" outline="0" fieldPosition="0">
        <references count="2">
          <reference field="4294967294" count="1" selected="0">
            <x v="0"/>
          </reference>
          <reference field="0" count="1" selected="0">
            <x v="5"/>
          </reference>
        </references>
      </pivotArea>
    </chartFormat>
    <chartFormat chart="21" format="9">
      <pivotArea type="data" outline="0" fieldPosition="0">
        <references count="2">
          <reference field="4294967294" count="1" selected="0">
            <x v="0"/>
          </reference>
          <reference field="0" count="1" selected="0">
            <x v="6"/>
          </reference>
        </references>
      </pivotArea>
    </chartFormat>
    <chartFormat chart="21" format="10">
      <pivotArea type="data" outline="0" fieldPosition="0">
        <references count="2">
          <reference field="4294967294" count="1" selected="0">
            <x v="0"/>
          </reference>
          <reference field="0" count="1" selected="0">
            <x v="15"/>
          </reference>
        </references>
      </pivotArea>
    </chartFormat>
    <chartFormat chart="21" format="11">
      <pivotArea type="data" outline="0" fieldPosition="0">
        <references count="2">
          <reference field="4294967294" count="1" selected="0">
            <x v="0"/>
          </reference>
          <reference field="0" count="1" selected="0">
            <x v="24"/>
          </reference>
        </references>
      </pivotArea>
    </chartFormat>
    <chartFormat chart="21" format="12">
      <pivotArea type="data" outline="0" fieldPosition="0">
        <references count="2">
          <reference field="4294967294" count="1" selected="0">
            <x v="0"/>
          </reference>
          <reference field="0" count="1" selected="0">
            <x v="25"/>
          </reference>
        </references>
      </pivotArea>
    </chartFormat>
    <chartFormat chart="15" format="1">
      <pivotArea type="data" outline="0" fieldPosition="0">
        <references count="2">
          <reference field="4294967294" count="1" selected="0">
            <x v="0"/>
          </reference>
          <reference field="0" count="1" selected="0">
            <x v="5"/>
          </reference>
        </references>
      </pivotArea>
    </chartFormat>
    <chartFormat chart="15" format="2">
      <pivotArea type="data" outline="0" fieldPosition="0">
        <references count="2">
          <reference field="4294967294" count="1" selected="0">
            <x v="0"/>
          </reference>
          <reference field="0" count="1" selected="0">
            <x v="6"/>
          </reference>
        </references>
      </pivotArea>
    </chartFormat>
    <chartFormat chart="15" format="3">
      <pivotArea type="data" outline="0" fieldPosition="0">
        <references count="2">
          <reference field="4294967294" count="1" selected="0">
            <x v="0"/>
          </reference>
          <reference field="0" count="1" selected="0">
            <x v="15"/>
          </reference>
        </references>
      </pivotArea>
    </chartFormat>
    <chartFormat chart="15" format="4">
      <pivotArea type="data" outline="0" fieldPosition="0">
        <references count="2">
          <reference field="4294967294" count="1" selected="0">
            <x v="0"/>
          </reference>
          <reference field="0" count="1" selected="0">
            <x v="24"/>
          </reference>
        </references>
      </pivotArea>
    </chartFormat>
    <chartFormat chart="15" format="5">
      <pivotArea type="data" outline="0" fieldPosition="0">
        <references count="2">
          <reference field="4294967294" count="1" selected="0">
            <x v="0"/>
          </reference>
          <reference field="0" count="1" selected="0">
            <x v="25"/>
          </reference>
        </references>
      </pivotArea>
    </chartFormat>
    <chartFormat chart="39" format="19" series="1">
      <pivotArea type="data" outline="0" fieldPosition="0">
        <references count="1">
          <reference field="4294967294" count="1" selected="0">
            <x v="0"/>
          </reference>
        </references>
      </pivotArea>
    </chartFormat>
    <chartFormat chart="39" format="20">
      <pivotArea type="data" outline="0" fieldPosition="0">
        <references count="2">
          <reference field="4294967294" count="1" selected="0">
            <x v="0"/>
          </reference>
          <reference field="0" count="1" selected="0">
            <x v="5"/>
          </reference>
        </references>
      </pivotArea>
    </chartFormat>
    <chartFormat chart="39" format="21">
      <pivotArea type="data" outline="0" fieldPosition="0">
        <references count="2">
          <reference field="4294967294" count="1" selected="0">
            <x v="0"/>
          </reference>
          <reference field="0" count="1" selected="0">
            <x v="6"/>
          </reference>
        </references>
      </pivotArea>
    </chartFormat>
    <chartFormat chart="39" format="22">
      <pivotArea type="data" outline="0" fieldPosition="0">
        <references count="2">
          <reference field="4294967294" count="1" selected="0">
            <x v="0"/>
          </reference>
          <reference field="0" count="1" selected="0">
            <x v="15"/>
          </reference>
        </references>
      </pivotArea>
    </chartFormat>
    <chartFormat chart="39" format="23">
      <pivotArea type="data" outline="0" fieldPosition="0">
        <references count="2">
          <reference field="4294967294" count="1" selected="0">
            <x v="0"/>
          </reference>
          <reference field="0" count="1" selected="0">
            <x v="24"/>
          </reference>
        </references>
      </pivotArea>
    </chartFormat>
    <chartFormat chart="39" format="24">
      <pivotArea type="data" outline="0" fieldPosition="0">
        <references count="2">
          <reference field="4294967294" count="1" selected="0">
            <x v="0"/>
          </reference>
          <reference field="0" count="1" selected="0">
            <x v="25"/>
          </reference>
        </references>
      </pivotArea>
    </chartFormat>
    <chartFormat chart="39" format="25">
      <pivotArea type="data" outline="0" fieldPosition="0">
        <references count="2">
          <reference field="4294967294" count="1" selected="0">
            <x v="0"/>
          </reference>
          <reference field="0" count="1" selected="0">
            <x v="7"/>
          </reference>
        </references>
      </pivotArea>
    </chartFormat>
    <chartFormat chart="15" format="7">
      <pivotArea type="data" outline="0" fieldPosition="0">
        <references count="2">
          <reference field="4294967294" count="1" selected="0">
            <x v="0"/>
          </reference>
          <reference field="0" count="1" selected="0">
            <x v="7"/>
          </reference>
        </references>
      </pivotArea>
    </chartFormat>
    <chartFormat chart="21" format="14">
      <pivotArea type="data" outline="0" fieldPosition="0">
        <references count="2">
          <reference field="4294967294" count="1" selected="0">
            <x v="0"/>
          </reference>
          <reference field="0" count="1" selected="0">
            <x v="7"/>
          </reference>
        </references>
      </pivotArea>
    </chartFormat>
  </chartFormats>
  <pivotTableStyleInfo name="PivotStyleLight16" showRowHeaders="1" showColHeaders="1" showRowStripes="0" showColStripes="0" showLastColumn="1"/>
  <filters count="2">
    <filter fld="4" type="dateBetween" evalOrder="-1" id="158" name="DATE">
      <autoFilter ref="A1">
        <filterColumn colId="0">
          <customFilters and="1">
            <customFilter operator="greaterThanOrEqual" val="38353"/>
            <customFilter operator="lessThanOrEqual" val="38717"/>
          </customFilters>
        </filterColumn>
      </autoFilter>
      <extLst>
        <ext xmlns:x15="http://schemas.microsoft.com/office/spreadsheetml/2010/11/main" uri="{0605FD5F-26C8-4aeb-8148-2DB25E43C511}">
          <x15:pivotFilter useWholeDay="1"/>
        </ext>
      </extLst>
    </filter>
    <filter fld="0" type="count" evalOrder="-1" id="2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9285D5-0268-4F0C-A733-99DE65EAF578}"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60:D79" firstHeaderRow="0" firstDataRow="1" firstDataCol="1"/>
  <pivotFields count="17">
    <pivotField axis="axisRow" showAll="0" measureFilter="1" sortType="ascending">
      <items count="28">
        <item x="0"/>
        <item x="1"/>
        <item x="2"/>
        <item x="18"/>
        <item x="22"/>
        <item x="3"/>
        <item x="15"/>
        <item x="4"/>
        <item x="19"/>
        <item x="5"/>
        <item x="6"/>
        <item x="23"/>
        <item x="7"/>
        <item x="25"/>
        <item x="8"/>
        <item x="9"/>
        <item x="24"/>
        <item x="10"/>
        <item x="20"/>
        <item x="26"/>
        <item x="11"/>
        <item x="21"/>
        <item x="14"/>
        <item x="12"/>
        <item x="13"/>
        <item x="17"/>
        <item x="16"/>
        <item t="default"/>
      </items>
    </pivotField>
    <pivotField showAll="0"/>
    <pivotField showAll="0">
      <items count="7">
        <item x="4"/>
        <item x="0"/>
        <item x="5"/>
        <item x="2"/>
        <item x="3"/>
        <item x="1"/>
        <item t="default"/>
      </items>
    </pivotField>
    <pivotField showAll="0">
      <items count="4">
        <item x="1"/>
        <item x="2"/>
        <item x="0"/>
        <item t="default"/>
      </items>
    </pivotField>
    <pivotField numFmtId="14" showAll="0">
      <items count="16">
        <item x="0"/>
        <item x="1"/>
        <item x="2"/>
        <item x="3"/>
        <item x="4"/>
        <item x="5"/>
        <item x="6"/>
        <item x="7"/>
        <item x="8"/>
        <item x="9"/>
        <item x="10"/>
        <item x="11"/>
        <item x="12"/>
        <item x="13"/>
        <item x="14"/>
        <item t="default"/>
      </items>
    </pivotField>
    <pivotField showAll="0"/>
    <pivotField showAll="0"/>
    <pivotField showAll="0"/>
    <pivotField showAll="0"/>
    <pivotField dataField="1" showAll="0"/>
    <pivotField showAll="0"/>
    <pivotField showAll="0"/>
    <pivotField showAll="0"/>
    <pivotField showAll="0"/>
    <pivotField showAll="0"/>
    <pivotField dataField="1" showAll="0"/>
    <pivotField dataField="1" showAll="0"/>
  </pivotFields>
  <rowFields count="1">
    <field x="0"/>
  </rowFields>
  <rowItems count="19">
    <i>
      <x/>
    </i>
    <i>
      <x v="1"/>
    </i>
    <i>
      <x v="2"/>
    </i>
    <i>
      <x v="5"/>
    </i>
    <i>
      <x v="6"/>
    </i>
    <i>
      <x v="7"/>
    </i>
    <i>
      <x v="9"/>
    </i>
    <i>
      <x v="10"/>
    </i>
    <i>
      <x v="12"/>
    </i>
    <i>
      <x v="14"/>
    </i>
    <i>
      <x v="15"/>
    </i>
    <i>
      <x v="17"/>
    </i>
    <i>
      <x v="20"/>
    </i>
    <i>
      <x v="22"/>
    </i>
    <i>
      <x v="23"/>
    </i>
    <i>
      <x v="24"/>
    </i>
    <i>
      <x v="25"/>
    </i>
    <i>
      <x v="26"/>
    </i>
    <i t="grand">
      <x/>
    </i>
  </rowItems>
  <colFields count="1">
    <field x="-2"/>
  </colFields>
  <colItems count="3">
    <i>
      <x/>
    </i>
    <i i="1">
      <x v="1"/>
    </i>
    <i i="2">
      <x v="2"/>
    </i>
  </colItems>
  <dataFields count="3">
    <dataField name="Count of Communicable" fld="15" subtotal="count" baseField="0" baseItem="3"/>
    <dataField name="Count of NonCommunicable" fld="16" subtotal="count" baseField="0" baseItem="5"/>
    <dataField name="Average of Health Expenditure %" fld="9" subtotal="average" baseField="0" baseItem="5"/>
  </dataFields>
  <formats count="6">
    <format dxfId="11">
      <pivotArea collapsedLevelsAreSubtotals="1" fieldPosition="0">
        <references count="1">
          <reference field="0" count="1">
            <x v="0"/>
          </reference>
        </references>
      </pivotArea>
    </format>
    <format dxfId="10">
      <pivotArea dataOnly="0" labelOnly="1" fieldPosition="0">
        <references count="1">
          <reference field="0" count="1">
            <x v="0"/>
          </reference>
        </references>
      </pivotArea>
    </format>
    <format dxfId="9">
      <pivotArea collapsedLevelsAreSubtotals="1" fieldPosition="0">
        <references count="1">
          <reference field="0" count="1">
            <x v="0"/>
          </reference>
        </references>
      </pivotArea>
    </format>
    <format dxfId="8">
      <pivotArea field="0" type="button" dataOnly="0" labelOnly="1" outline="0" axis="axisRow" fieldPosition="0"/>
    </format>
    <format dxfId="7">
      <pivotArea dataOnly="0" labelOnly="1" fieldPosition="0">
        <references count="1">
          <reference field="0" count="1">
            <x v="0"/>
          </reference>
        </references>
      </pivotArea>
    </format>
    <format dxfId="6">
      <pivotArea dataOnly="0" labelOnly="1" outline="0" axis="axisValues" fieldPosition="0"/>
    </format>
  </formats>
  <pivotTableStyleInfo name="PivotStyleLight16" showRowHeaders="1" showColHeaders="1" showRowStripes="0" showColStripes="0" showLastColumn="1"/>
  <filters count="2">
    <filter fld="4" type="dateBetween" evalOrder="-1" id="160" name="DATE">
      <autoFilter ref="A1">
        <filterColumn colId="0">
          <customFilters and="1">
            <customFilter operator="greaterThanOrEqual" val="38353"/>
            <customFilter operator="lessThanOrEqual" val="38717"/>
          </customFilters>
        </filterColumn>
      </autoFilter>
      <extLst>
        <ext xmlns:x15="http://schemas.microsoft.com/office/spreadsheetml/2010/11/main" uri="{0605FD5F-26C8-4aeb-8148-2DB25E43C511}">
          <x15:pivotFilter useWholeDay="1"/>
        </ext>
      </extLst>
    </filter>
    <filter fld="0" type="count" evalOrder="-1" id="2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BA3379-365C-4A4D-ACF5-35BFB4CDA4BE}"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6">
  <location ref="H2:I8" firstHeaderRow="1" firstDataRow="1" firstDataCol="1"/>
  <pivotFields count="17">
    <pivotField axis="axisRow" showAll="0" measureFilter="1">
      <items count="28">
        <item x="0"/>
        <item x="1"/>
        <item x="2"/>
        <item x="18"/>
        <item x="22"/>
        <item x="3"/>
        <item x="15"/>
        <item x="4"/>
        <item x="19"/>
        <item x="5"/>
        <item x="6"/>
        <item x="23"/>
        <item x="7"/>
        <item x="25"/>
        <item x="8"/>
        <item x="9"/>
        <item x="24"/>
        <item x="10"/>
        <item x="20"/>
        <item x="26"/>
        <item x="11"/>
        <item x="21"/>
        <item x="14"/>
        <item x="12"/>
        <item x="13"/>
        <item x="17"/>
        <item x="16"/>
        <item t="default"/>
      </items>
    </pivotField>
    <pivotField showAll="0"/>
    <pivotField showAll="0">
      <items count="7">
        <item x="4"/>
        <item x="0"/>
        <item x="5"/>
        <item x="2"/>
        <item x="3"/>
        <item x="1"/>
        <item t="default"/>
      </items>
    </pivotField>
    <pivotField showAll="0">
      <items count="4">
        <item x="1"/>
        <item x="2"/>
        <item x="0"/>
        <item t="default"/>
      </items>
    </pivotField>
    <pivotField numFmtId="14" showAll="0">
      <items count="16">
        <item x="0"/>
        <item x="1"/>
        <item x="2"/>
        <item x="3"/>
        <item x="4"/>
        <item x="5"/>
        <item x="6"/>
        <item x="7"/>
        <item x="8"/>
        <item x="9"/>
        <item x="10"/>
        <item x="11"/>
        <item x="12"/>
        <item x="13"/>
        <item x="14"/>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0"/>
  </rowFields>
  <rowItems count="6">
    <i>
      <x/>
    </i>
    <i>
      <x v="7"/>
    </i>
    <i>
      <x v="9"/>
    </i>
    <i>
      <x v="14"/>
    </i>
    <i>
      <x v="22"/>
    </i>
    <i t="grand">
      <x/>
    </i>
  </rowItems>
  <colItems count="1">
    <i/>
  </colItems>
  <dataFields count="1">
    <dataField name="Average of Unemployment" fld="11" subtotal="average" baseField="0" baseItem="0"/>
  </dataFields>
  <formats count="6">
    <format dxfId="17">
      <pivotArea collapsedLevelsAreSubtotals="1" fieldPosition="0">
        <references count="1">
          <reference field="0" count="1">
            <x v="0"/>
          </reference>
        </references>
      </pivotArea>
    </format>
    <format dxfId="16">
      <pivotArea dataOnly="0" labelOnly="1" fieldPosition="0">
        <references count="1">
          <reference field="0" count="1">
            <x v="0"/>
          </reference>
        </references>
      </pivotArea>
    </format>
    <format dxfId="15">
      <pivotArea collapsedLevelsAreSubtotals="1" fieldPosition="0">
        <references count="1">
          <reference field="0" count="1">
            <x v="0"/>
          </reference>
        </references>
      </pivotArea>
    </format>
    <format dxfId="14">
      <pivotArea field="0" type="button" dataOnly="0" labelOnly="1" outline="0" axis="axisRow" fieldPosition="0"/>
    </format>
    <format dxfId="13">
      <pivotArea dataOnly="0" labelOnly="1" fieldPosition="0">
        <references count="1">
          <reference field="0" count="1">
            <x v="0"/>
          </reference>
        </references>
      </pivotArea>
    </format>
    <format dxfId="12">
      <pivotArea dataOnly="0" labelOnly="1" outline="0" axis="axisValues" fieldPosition="0"/>
    </format>
  </formats>
  <chartFormats count="21">
    <chartFormat chart="11" format="0"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0" count="1" selected="0">
            <x v="0"/>
          </reference>
        </references>
      </pivotArea>
    </chartFormat>
    <chartFormat chart="17" format="10">
      <pivotArea type="data" outline="0" fieldPosition="0">
        <references count="2">
          <reference field="4294967294" count="1" selected="0">
            <x v="0"/>
          </reference>
          <reference field="0" count="1" selected="0">
            <x v="1"/>
          </reference>
        </references>
      </pivotArea>
    </chartFormat>
    <chartFormat chart="17" format="11">
      <pivotArea type="data" outline="0" fieldPosition="0">
        <references count="2">
          <reference field="4294967294" count="1" selected="0">
            <x v="0"/>
          </reference>
          <reference field="0" count="1" selected="0">
            <x v="7"/>
          </reference>
        </references>
      </pivotArea>
    </chartFormat>
    <chartFormat chart="17" format="12">
      <pivotArea type="data" outline="0" fieldPosition="0">
        <references count="2">
          <reference field="4294967294" count="1" selected="0">
            <x v="0"/>
          </reference>
          <reference field="0" count="1" selected="0">
            <x v="9"/>
          </reference>
        </references>
      </pivotArea>
    </chartFormat>
    <chartFormat chart="17" format="13">
      <pivotArea type="data" outline="0" fieldPosition="0">
        <references count="2">
          <reference field="4294967294" count="1" selected="0">
            <x v="0"/>
          </reference>
          <reference field="0" count="1" selected="0">
            <x v="14"/>
          </reference>
        </references>
      </pivotArea>
    </chartFormat>
    <chartFormat chart="11" format="2">
      <pivotArea type="data" outline="0" fieldPosition="0">
        <references count="2">
          <reference field="4294967294" count="1" selected="0">
            <x v="0"/>
          </reference>
          <reference field="0" count="1" selected="0">
            <x v="0"/>
          </reference>
        </references>
      </pivotArea>
    </chartFormat>
    <chartFormat chart="11" format="3">
      <pivotArea type="data" outline="0" fieldPosition="0">
        <references count="2">
          <reference field="4294967294" count="1" selected="0">
            <x v="0"/>
          </reference>
          <reference field="0" count="1" selected="0">
            <x v="1"/>
          </reference>
        </references>
      </pivotArea>
    </chartFormat>
    <chartFormat chart="11" format="4">
      <pivotArea type="data" outline="0" fieldPosition="0">
        <references count="2">
          <reference field="4294967294" count="1" selected="0">
            <x v="0"/>
          </reference>
          <reference field="0" count="1" selected="0">
            <x v="7"/>
          </reference>
        </references>
      </pivotArea>
    </chartFormat>
    <chartFormat chart="11" format="5">
      <pivotArea type="data" outline="0" fieldPosition="0">
        <references count="2">
          <reference field="4294967294" count="1" selected="0">
            <x v="0"/>
          </reference>
          <reference field="0" count="1" selected="0">
            <x v="9"/>
          </reference>
        </references>
      </pivotArea>
    </chartFormat>
    <chartFormat chart="11" format="6">
      <pivotArea type="data" outline="0" fieldPosition="0">
        <references count="2">
          <reference field="4294967294" count="1" selected="0">
            <x v="0"/>
          </reference>
          <reference field="0" count="1" selected="0">
            <x v="14"/>
          </reference>
        </references>
      </pivotArea>
    </chartFormat>
    <chartFormat chart="35" format="20" series="1">
      <pivotArea type="data" outline="0" fieldPosition="0">
        <references count="1">
          <reference field="4294967294" count="1" selected="0">
            <x v="0"/>
          </reference>
        </references>
      </pivotArea>
    </chartFormat>
    <chartFormat chart="35" format="21">
      <pivotArea type="data" outline="0" fieldPosition="0">
        <references count="2">
          <reference field="4294967294" count="1" selected="0">
            <x v="0"/>
          </reference>
          <reference field="0" count="1" selected="0">
            <x v="0"/>
          </reference>
        </references>
      </pivotArea>
    </chartFormat>
    <chartFormat chart="35" format="22">
      <pivotArea type="data" outline="0" fieldPosition="0">
        <references count="2">
          <reference field="4294967294" count="1" selected="0">
            <x v="0"/>
          </reference>
          <reference field="0" count="1" selected="0">
            <x v="1"/>
          </reference>
        </references>
      </pivotArea>
    </chartFormat>
    <chartFormat chart="35" format="23">
      <pivotArea type="data" outline="0" fieldPosition="0">
        <references count="2">
          <reference field="4294967294" count="1" selected="0">
            <x v="0"/>
          </reference>
          <reference field="0" count="1" selected="0">
            <x v="7"/>
          </reference>
        </references>
      </pivotArea>
    </chartFormat>
    <chartFormat chart="35" format="24">
      <pivotArea type="data" outline="0" fieldPosition="0">
        <references count="2">
          <reference field="4294967294" count="1" selected="0">
            <x v="0"/>
          </reference>
          <reference field="0" count="1" selected="0">
            <x v="9"/>
          </reference>
        </references>
      </pivotArea>
    </chartFormat>
    <chartFormat chart="35" format="25">
      <pivotArea type="data" outline="0" fieldPosition="0">
        <references count="2">
          <reference field="4294967294" count="1" selected="0">
            <x v="0"/>
          </reference>
          <reference field="0" count="1" selected="0">
            <x v="14"/>
          </reference>
        </references>
      </pivotArea>
    </chartFormat>
    <chartFormat chart="35" format="26">
      <pivotArea type="data" outline="0" fieldPosition="0">
        <references count="2">
          <reference field="4294967294" count="1" selected="0">
            <x v="0"/>
          </reference>
          <reference field="0" count="1" selected="0">
            <x v="22"/>
          </reference>
        </references>
      </pivotArea>
    </chartFormat>
    <chartFormat chart="11" format="8">
      <pivotArea type="data" outline="0" fieldPosition="0">
        <references count="2">
          <reference field="4294967294" count="1" selected="0">
            <x v="0"/>
          </reference>
          <reference field="0" count="1" selected="0">
            <x v="22"/>
          </reference>
        </references>
      </pivotArea>
    </chartFormat>
    <chartFormat chart="17" format="15">
      <pivotArea type="data" outline="0" fieldPosition="0">
        <references count="2">
          <reference field="4294967294" count="1" selected="0">
            <x v="0"/>
          </reference>
          <reference field="0" count="1" selected="0">
            <x v="22"/>
          </reference>
        </references>
      </pivotArea>
    </chartFormat>
  </chartFormats>
  <pivotTableStyleInfo name="PivotStyleLight16" showRowHeaders="1" showColHeaders="1" showRowStripes="0" showColStripes="0" showLastColumn="1"/>
  <filters count="2">
    <filter fld="4" type="dateBetween" evalOrder="-1" id="156" name="DATE">
      <autoFilter ref="A1">
        <filterColumn colId="0">
          <customFilters and="1">
            <customFilter operator="greaterThanOrEqual" val="38353"/>
            <customFilter operator="lessThanOrEqual" val="38717"/>
          </customFilters>
        </filterColumn>
      </autoFilter>
      <extLst>
        <ext xmlns:x15="http://schemas.microsoft.com/office/spreadsheetml/2010/11/main" uri="{0605FD5F-26C8-4aeb-8148-2DB25E43C511}">
          <x15:pivotFilter useWholeDay="1"/>
        </ext>
      </extLst>
    </filter>
    <filter fld="0"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C06EA3-DC0E-4488-95EB-AC6CCC7B54C2}"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K39:O40" firstHeaderRow="0" firstDataRow="1" firstDataCol="0"/>
  <pivotFields count="17">
    <pivotField showAll="0">
      <items count="28">
        <item x="0"/>
        <item x="1"/>
        <item x="2"/>
        <item x="18"/>
        <item x="22"/>
        <item x="3"/>
        <item x="15"/>
        <item x="4"/>
        <item x="19"/>
        <item x="5"/>
        <item x="6"/>
        <item x="23"/>
        <item x="7"/>
        <item x="25"/>
        <item x="8"/>
        <item x="9"/>
        <item x="24"/>
        <item x="10"/>
        <item x="20"/>
        <item x="26"/>
        <item x="11"/>
        <item x="21"/>
        <item x="14"/>
        <item x="12"/>
        <item x="13"/>
        <item x="17"/>
        <item x="16"/>
        <item t="default"/>
      </items>
    </pivotField>
    <pivotField dataField="1" showAll="0"/>
    <pivotField showAll="0">
      <items count="7">
        <item x="4"/>
        <item x="0"/>
        <item x="5"/>
        <item x="2"/>
        <item x="3"/>
        <item x="1"/>
        <item t="default"/>
      </items>
    </pivotField>
    <pivotField showAll="0">
      <items count="4">
        <item x="1"/>
        <item x="2"/>
        <item x="0"/>
        <item t="default"/>
      </items>
    </pivotField>
    <pivotField numFmtId="14" showAll="0">
      <items count="16">
        <item x="0"/>
        <item x="1"/>
        <item x="2"/>
        <item x="3"/>
        <item x="4"/>
        <item x="5"/>
        <item x="6"/>
        <item x="7"/>
        <item x="8"/>
        <item x="9"/>
        <item x="10"/>
        <item x="11"/>
        <item x="12"/>
        <item x="13"/>
        <item x="14"/>
        <item t="default"/>
      </items>
    </pivotField>
    <pivotField showAll="0"/>
    <pivotField dataField="1" showAll="0"/>
    <pivotField showAll="0"/>
    <pivotField showAll="0"/>
    <pivotField dataField="1" showAll="0"/>
    <pivotField dataField="1" showAll="0"/>
    <pivotField dataField="1" showAll="0"/>
    <pivotField showAll="0"/>
    <pivotField showAll="0"/>
    <pivotField showAll="0"/>
    <pivotField showAll="0"/>
    <pivotField showAll="0"/>
  </pivotFields>
  <rowItems count="1">
    <i/>
  </rowItems>
  <colFields count="1">
    <field x="-2"/>
  </colFields>
  <colItems count="5">
    <i>
      <x/>
    </i>
    <i i="1">
      <x v="1"/>
    </i>
    <i i="2">
      <x v="2"/>
    </i>
    <i i="3">
      <x v="3"/>
    </i>
    <i i="4">
      <x v="4"/>
    </i>
  </colItems>
  <dataFields count="5">
    <dataField name="Average of Life Expectancy World Bank" fld="6" subtotal="average" baseField="0" baseItem="0" numFmtId="1"/>
    <dataField name="Average of Education Expenditure %" fld="10" subtotal="average" baseField="0" baseItem="2"/>
    <dataField name="Average of Unemployment" fld="11" subtotal="average" baseField="0" baseItem="2"/>
    <dataField name="Average of Health Expenditure %" fld="9" subtotal="average" baseField="0" baseItem="1"/>
    <dataField name="Count of Country Code" fld="1" subtotal="count" baseField="0" baseItem="1"/>
  </dataFields>
  <formats count="23">
    <format dxfId="40">
      <pivotArea field="0" type="button" dataOnly="0" labelOnly="1" outline="0"/>
    </format>
    <format dxfId="39">
      <pivotArea dataOnly="0" labelOnly="1" outline="0" axis="axisValues" fieldPosition="0"/>
    </format>
    <format dxfId="38">
      <pivotArea outline="0" collapsedLevelsAreSubtotals="1" fieldPosition="0"/>
    </format>
    <format dxfId="37">
      <pivotArea outline="0" collapsedLevelsAreSubtotals="1" fieldPosition="0">
        <references count="1">
          <reference field="4294967294" count="1" selected="0">
            <x v="4"/>
          </reference>
        </references>
      </pivotArea>
    </format>
    <format dxfId="36">
      <pivotArea outline="0" collapsedLevelsAreSubtotals="1" fieldPosition="0">
        <references count="1">
          <reference field="4294967294" count="1" selected="0">
            <x v="4"/>
          </reference>
        </references>
      </pivotArea>
    </format>
    <format dxfId="35">
      <pivotArea outline="0" collapsedLevelsAreSubtotals="1" fieldPosition="0">
        <references count="1">
          <reference field="4294967294" count="1" selected="0">
            <x v="0"/>
          </reference>
        </references>
      </pivotArea>
    </format>
    <format dxfId="34">
      <pivotArea outline="0" collapsedLevelsAreSubtotals="1" fieldPosition="0">
        <references count="1">
          <reference field="4294967294" count="1" selected="0">
            <x v="0"/>
          </reference>
        </references>
      </pivotArea>
    </format>
    <format dxfId="33">
      <pivotArea outline="0" collapsedLevelsAreSubtotals="1" fieldPosition="0">
        <references count="1">
          <reference field="4294967294" count="1" selected="0">
            <x v="0"/>
          </reference>
        </references>
      </pivotArea>
    </format>
    <format dxfId="32">
      <pivotArea outline="0" collapsedLevelsAreSubtotals="1" fieldPosition="0">
        <references count="1">
          <reference field="4294967294" count="1" selected="0">
            <x v="0"/>
          </reference>
        </references>
      </pivotArea>
    </format>
    <format dxfId="31">
      <pivotArea outline="0" collapsedLevelsAreSubtotals="1" fieldPosition="0">
        <references count="1">
          <reference field="4294967294" count="1" selected="0">
            <x v="4"/>
          </reference>
        </references>
      </pivotArea>
    </format>
    <format dxfId="30">
      <pivotArea outline="0" collapsedLevelsAreSubtotals="1" fieldPosition="0">
        <references count="1">
          <reference field="4294967294" count="1" selected="0">
            <x v="0"/>
          </reference>
        </references>
      </pivotArea>
    </format>
    <format dxfId="29">
      <pivotArea outline="0" collapsedLevelsAreSubtotals="1" fieldPosition="0">
        <references count="1">
          <reference field="4294967294" count="1" selected="0">
            <x v="0"/>
          </reference>
        </references>
      </pivotArea>
    </format>
    <format dxfId="28">
      <pivotArea outline="0" collapsedLevelsAreSubtotals="1" fieldPosition="0">
        <references count="1">
          <reference field="4294967294" count="1" selected="0">
            <x v="4"/>
          </reference>
        </references>
      </pivotArea>
    </format>
    <format dxfId="27">
      <pivotArea dataOnly="0" labelOnly="1" outline="0" fieldPosition="0">
        <references count="1">
          <reference field="4294967294" count="1">
            <x v="3"/>
          </reference>
        </references>
      </pivotArea>
    </format>
    <format dxfId="26">
      <pivotArea outline="0" collapsedLevelsAreSubtotals="1" fieldPosition="0">
        <references count="1">
          <reference field="4294967294" count="1" selected="0">
            <x v="2"/>
          </reference>
        </references>
      </pivotArea>
    </format>
    <format dxfId="25">
      <pivotArea outline="0" collapsedLevelsAreSubtotals="1" fieldPosition="0">
        <references count="1">
          <reference field="4294967294" count="1" selected="0">
            <x v="2"/>
          </reference>
        </references>
      </pivotArea>
    </format>
    <format dxfId="24">
      <pivotArea outline="0" collapsedLevelsAreSubtotals="1" fieldPosition="0">
        <references count="1">
          <reference field="4294967294" count="1" selected="0">
            <x v="2"/>
          </reference>
        </references>
      </pivotArea>
    </format>
    <format dxfId="23">
      <pivotArea outline="0" collapsedLevelsAreSubtotals="1" fieldPosition="0">
        <references count="1">
          <reference field="4294967294" count="1" selected="0">
            <x v="2"/>
          </reference>
        </references>
      </pivotArea>
    </format>
    <format dxfId="22">
      <pivotArea outline="0" collapsedLevelsAreSubtotals="1" fieldPosition="0">
        <references count="1">
          <reference field="4294967294" count="1" selected="0">
            <x v="2"/>
          </reference>
        </references>
      </pivotArea>
    </format>
    <format dxfId="21">
      <pivotArea outline="0" collapsedLevelsAreSubtotals="1" fieldPosition="0">
        <references count="1">
          <reference field="4294967294" count="1" selected="0">
            <x v="1"/>
          </reference>
        </references>
      </pivotArea>
    </format>
    <format dxfId="20">
      <pivotArea outline="0" collapsedLevelsAreSubtotals="1" fieldPosition="0">
        <references count="1">
          <reference field="4294967294" count="1" selected="0">
            <x v="1"/>
          </reference>
        </references>
      </pivotArea>
    </format>
    <format dxfId="19">
      <pivotArea outline="0" collapsedLevelsAreSubtotals="1" fieldPosition="0">
        <references count="1">
          <reference field="4294967294" count="1" selected="0">
            <x v="1"/>
          </reference>
        </references>
      </pivotArea>
    </format>
    <format dxfId="18">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filters count="1">
    <filter fld="4" type="dateBetween" evalOrder="-1" id="137" name="DATE">
      <autoFilter ref="A1">
        <filterColumn colId="0">
          <customFilters and="1">
            <customFilter operator="greaterThanOrEqual" val="38353"/>
            <customFilter operator="lessThanOrEqual" val="3871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6865C4-D346-48A4-9ADF-1A1ED12730C0}"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14:B25" firstHeaderRow="1" firstDataRow="1" firstDataCol="1"/>
  <pivotFields count="17">
    <pivotField axis="axisRow" showAll="0" measureFilter="1">
      <items count="28">
        <item x="0"/>
        <item x="1"/>
        <item x="2"/>
        <item x="18"/>
        <item x="22"/>
        <item x="3"/>
        <item x="15"/>
        <item x="4"/>
        <item x="19"/>
        <item x="5"/>
        <item x="6"/>
        <item x="23"/>
        <item x="7"/>
        <item x="25"/>
        <item x="8"/>
        <item x="9"/>
        <item x="24"/>
        <item x="10"/>
        <item x="20"/>
        <item x="26"/>
        <item x="11"/>
        <item x="21"/>
        <item x="14"/>
        <item x="12"/>
        <item x="13"/>
        <item x="17"/>
        <item x="16"/>
        <item t="default"/>
      </items>
    </pivotField>
    <pivotField showAll="0"/>
    <pivotField showAll="0">
      <items count="7">
        <item x="4"/>
        <item x="0"/>
        <item x="5"/>
        <item x="2"/>
        <item x="3"/>
        <item x="1"/>
        <item t="default"/>
      </items>
    </pivotField>
    <pivotField showAll="0">
      <items count="4">
        <item x="1"/>
        <item x="2"/>
        <item x="0"/>
        <item t="default"/>
      </items>
    </pivotField>
    <pivotField numFmtId="14" showAll="0">
      <items count="16">
        <item x="0"/>
        <item x="1"/>
        <item x="2"/>
        <item x="3"/>
        <item x="4"/>
        <item x="5"/>
        <item x="6"/>
        <item x="7"/>
        <item x="8"/>
        <item x="9"/>
        <item x="10"/>
        <item x="11"/>
        <item x="12"/>
        <item x="13"/>
        <item x="14"/>
        <item t="default"/>
      </items>
    </pivotField>
    <pivotField showAll="0"/>
    <pivotField dataField="1" showAll="0"/>
    <pivotField showAll="0"/>
    <pivotField showAll="0"/>
    <pivotField showAll="0" measureFilter="1"/>
    <pivotField showAll="0"/>
    <pivotField showAll="0"/>
    <pivotField showAll="0"/>
    <pivotField showAll="0"/>
    <pivotField showAll="0"/>
    <pivotField showAll="0"/>
    <pivotField showAll="0"/>
  </pivotFields>
  <rowFields count="1">
    <field x="0"/>
  </rowFields>
  <rowItems count="11">
    <i>
      <x v="5"/>
    </i>
    <i>
      <x v="6"/>
    </i>
    <i>
      <x v="7"/>
    </i>
    <i>
      <x v="10"/>
    </i>
    <i>
      <x v="14"/>
    </i>
    <i>
      <x v="17"/>
    </i>
    <i>
      <x v="23"/>
    </i>
    <i>
      <x v="24"/>
    </i>
    <i>
      <x v="25"/>
    </i>
    <i>
      <x v="26"/>
    </i>
    <i t="grand">
      <x/>
    </i>
  </rowItems>
  <colItems count="1">
    <i/>
  </colItems>
  <dataFields count="1">
    <dataField name="Average of Life Expectancy World Bank" fld="6" subtotal="average" baseField="8" baseItem="207"/>
  </dataFields>
  <chartFormats count="4">
    <chartFormat chart="2" format="6"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4" type="dateBetween" evalOrder="-1" id="152" name="DATE">
      <autoFilter ref="A1">
        <filterColumn colId="0">
          <customFilters and="1">
            <customFilter operator="greaterThanOrEqual" val="38353"/>
            <customFilter operator="lessThanOrEqual" val="38717"/>
          </customFilters>
        </filterColumn>
      </autoFilter>
      <extLst>
        <ext xmlns:x15="http://schemas.microsoft.com/office/spreadsheetml/2010/11/main" uri="{0605FD5F-26C8-4aeb-8148-2DB25E43C511}">
          <x15:pivotFilter useWholeDay="1"/>
        </ext>
      </extLst>
    </filter>
    <filter fld="0" type="count" evalOrder="-1" id="15" iMeasureFld="0">
      <autoFilter ref="A1">
        <filterColumn colId="0">
          <top10 top="0" val="10" filterVal="10"/>
        </filterColumn>
      </autoFilter>
    </filter>
    <filter fld="9" type="count" evalOrder="-1" id="13"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F3E1A9-D7AD-4D53-BE15-C4946F8CEED4}"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A1:B12" firstHeaderRow="1" firstDataRow="1" firstDataCol="1"/>
  <pivotFields count="17">
    <pivotField axis="axisRow" showAll="0" measureFilter="1">
      <items count="28">
        <item x="0"/>
        <item x="1"/>
        <item x="2"/>
        <item x="18"/>
        <item x="22"/>
        <item x="3"/>
        <item x="15"/>
        <item x="4"/>
        <item x="19"/>
        <item x="5"/>
        <item x="6"/>
        <item x="23"/>
        <item x="7"/>
        <item x="25"/>
        <item x="8"/>
        <item x="9"/>
        <item x="24"/>
        <item x="10"/>
        <item x="20"/>
        <item x="26"/>
        <item x="11"/>
        <item x="21"/>
        <item x="14"/>
        <item x="12"/>
        <item x="13"/>
        <item x="17"/>
        <item x="16"/>
        <item t="default"/>
      </items>
    </pivotField>
    <pivotField showAll="0"/>
    <pivotField showAll="0">
      <items count="7">
        <item x="4"/>
        <item x="0"/>
        <item x="5"/>
        <item x="2"/>
        <item x="3"/>
        <item x="1"/>
        <item t="default"/>
      </items>
    </pivotField>
    <pivotField showAll="0">
      <items count="4">
        <item x="1"/>
        <item x="2"/>
        <item x="0"/>
        <item t="default"/>
      </items>
    </pivotField>
    <pivotField numFmtId="14" showAll="0">
      <items count="16">
        <item x="0"/>
        <item x="1"/>
        <item x="2"/>
        <item x="3"/>
        <item x="4"/>
        <item x="5"/>
        <item x="6"/>
        <item x="7"/>
        <item x="8"/>
        <item x="9"/>
        <item x="10"/>
        <item x="11"/>
        <item x="12"/>
        <item x="13"/>
        <item x="14"/>
        <item t="default"/>
      </items>
    </pivotField>
    <pivotField showAll="0"/>
    <pivotField dataField="1" showAll="0"/>
    <pivotField showAll="0"/>
    <pivotField showAll="0"/>
    <pivotField showAll="0" measureFilter="1"/>
    <pivotField showAll="0"/>
    <pivotField showAll="0"/>
    <pivotField showAll="0"/>
    <pivotField showAll="0"/>
    <pivotField showAll="0"/>
    <pivotField showAll="0"/>
    <pivotField showAll="0"/>
  </pivotFields>
  <rowFields count="1">
    <field x="0"/>
  </rowFields>
  <rowItems count="11">
    <i>
      <x/>
    </i>
    <i>
      <x v="1"/>
    </i>
    <i>
      <x v="2"/>
    </i>
    <i>
      <x v="9"/>
    </i>
    <i>
      <x v="10"/>
    </i>
    <i>
      <x v="12"/>
    </i>
    <i>
      <x v="15"/>
    </i>
    <i>
      <x v="20"/>
    </i>
    <i>
      <x v="22"/>
    </i>
    <i>
      <x v="23"/>
    </i>
    <i t="grand">
      <x/>
    </i>
  </rowItems>
  <colItems count="1">
    <i/>
  </colItems>
  <dataFields count="1">
    <dataField name="Average of Life Expectancy World Bank" fld="6" subtotal="average" baseField="8" baseItem="207"/>
  </dataFields>
  <chartFormats count="3">
    <chartFormat chart="2" format="6"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19"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4" type="dateBetween" evalOrder="-1" id="151" name="DATE">
      <autoFilter ref="A1">
        <filterColumn colId="0">
          <customFilters and="1">
            <customFilter operator="greaterThanOrEqual" val="38353"/>
            <customFilter operator="lessThanOrEqual" val="38717"/>
          </customFilters>
        </filterColumn>
      </autoFilter>
      <extLst>
        <ext xmlns:x15="http://schemas.microsoft.com/office/spreadsheetml/2010/11/main" uri="{0605FD5F-26C8-4aeb-8148-2DB25E43C511}">
          <x15:pivotFilter useWholeDay="1"/>
        </ext>
      </extLst>
    </filter>
    <filter fld="9" type="count" evalOrder="-1" id="13" iMeasureFld="0">
      <autoFilter ref="A1">
        <filterColumn colId="0">
          <top10 val="15" filterVal="15"/>
        </filterColumn>
      </autoFilter>
    </filter>
    <filter fld="0" type="count" evalOrder="-1" id="1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4E33AD-E9D7-42EB-892A-7717558144F1}"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0">
  <location ref="K45:M64" firstHeaderRow="0" firstDataRow="1" firstDataCol="1"/>
  <pivotFields count="17">
    <pivotField axis="axisRow" showAll="0" measureFilter="1">
      <items count="28">
        <item x="0"/>
        <item x="1"/>
        <item x="2"/>
        <item x="18"/>
        <item x="22"/>
        <item x="3"/>
        <item x="15"/>
        <item x="4"/>
        <item x="19"/>
        <item x="5"/>
        <item x="6"/>
        <item x="23"/>
        <item x="7"/>
        <item x="25"/>
        <item x="8"/>
        <item x="9"/>
        <item x="24"/>
        <item x="10"/>
        <item x="20"/>
        <item x="26"/>
        <item x="11"/>
        <item x="21"/>
        <item x="14"/>
        <item x="12"/>
        <item x="13"/>
        <item x="17"/>
        <item x="16"/>
        <item t="default"/>
      </items>
    </pivotField>
    <pivotField showAll="0"/>
    <pivotField showAll="0">
      <items count="7">
        <item x="4"/>
        <item x="0"/>
        <item x="5"/>
        <item x="2"/>
        <item x="3"/>
        <item x="1"/>
        <item t="default"/>
      </items>
    </pivotField>
    <pivotField showAll="0">
      <items count="4">
        <item x="1"/>
        <item x="2"/>
        <item x="0"/>
        <item t="default"/>
      </items>
    </pivotField>
    <pivotField numFmtId="14" showAll="0">
      <items count="16">
        <item x="0"/>
        <item x="1"/>
        <item x="2"/>
        <item x="3"/>
        <item x="4"/>
        <item x="5"/>
        <item x="6"/>
        <item x="7"/>
        <item x="8"/>
        <item x="9"/>
        <item x="10"/>
        <item x="11"/>
        <item x="12"/>
        <item x="13"/>
        <item x="14"/>
        <item t="default"/>
      </items>
    </pivotField>
    <pivotField showAll="0"/>
    <pivotField showAll="0">
      <items count="292">
        <item x="28"/>
        <item x="8"/>
        <item x="56"/>
        <item x="13"/>
        <item x="3"/>
        <item x="22"/>
        <item x="38"/>
        <item x="52"/>
        <item x="115"/>
        <item x="45"/>
        <item x="69"/>
        <item x="86"/>
        <item x="137"/>
        <item x="61"/>
        <item x="108"/>
        <item x="78"/>
        <item x="15"/>
        <item x="131"/>
        <item x="159"/>
        <item x="152"/>
        <item x="99"/>
        <item x="179"/>
        <item x="174"/>
        <item x="80"/>
        <item x="194"/>
        <item x="101"/>
        <item x="143"/>
        <item x="200"/>
        <item x="124"/>
        <item x="215"/>
        <item x="122"/>
        <item x="167"/>
        <item x="145"/>
        <item x="10"/>
        <item x="221"/>
        <item x="235"/>
        <item x="187"/>
        <item x="169"/>
        <item x="189"/>
        <item x="254"/>
        <item x="208"/>
        <item x="241"/>
        <item x="210"/>
        <item x="275"/>
        <item x="231"/>
        <item x="229"/>
        <item x="260"/>
        <item x="250"/>
        <item x="248"/>
        <item x="270"/>
        <item x="58"/>
        <item x="288"/>
        <item x="268"/>
        <item x="278"/>
        <item x="17"/>
        <item x="16"/>
        <item x="286"/>
        <item x="74"/>
        <item x="33"/>
        <item x="34"/>
        <item x="94"/>
        <item x="96"/>
        <item x="47"/>
        <item x="117"/>
        <item x="48"/>
        <item x="139"/>
        <item x="63"/>
        <item x="161"/>
        <item x="64"/>
        <item x="81"/>
        <item x="181"/>
        <item x="119"/>
        <item x="24"/>
        <item x="102"/>
        <item x="202"/>
        <item x="82"/>
        <item x="223"/>
        <item x="4"/>
        <item x="125"/>
        <item x="23"/>
        <item x="243"/>
        <item x="39"/>
        <item x="103"/>
        <item x="146"/>
        <item x="6"/>
        <item x="262"/>
        <item x="170"/>
        <item x="26"/>
        <item x="280"/>
        <item x="126"/>
        <item x="190"/>
        <item x="53"/>
        <item x="41"/>
        <item x="211"/>
        <item x="164"/>
        <item x="87"/>
        <item x="55"/>
        <item x="232"/>
        <item x="147"/>
        <item x="251"/>
        <item x="12"/>
        <item x="70"/>
        <item x="271"/>
        <item x="90"/>
        <item x="184"/>
        <item x="9"/>
        <item x="31"/>
        <item x="111"/>
        <item x="171"/>
        <item x="88"/>
        <item x="29"/>
        <item x="134"/>
        <item x="205"/>
        <item x="155"/>
        <item x="42"/>
        <item x="191"/>
        <item x="176"/>
        <item x="109"/>
        <item x="57"/>
        <item x="226"/>
        <item x="197"/>
        <item x="60"/>
        <item x="73"/>
        <item x="212"/>
        <item x="218"/>
        <item x="246"/>
        <item x="132"/>
        <item x="93"/>
        <item x="238"/>
        <item x="77"/>
        <item x="257"/>
        <item x="265"/>
        <item x="116"/>
        <item x="233"/>
        <item x="153"/>
        <item x="195"/>
        <item x="283"/>
        <item x="138"/>
        <item x="98"/>
        <item x="252"/>
        <item x="7"/>
        <item x="175"/>
        <item x="14"/>
        <item x="160"/>
        <item x="121"/>
        <item x="27"/>
        <item x="162"/>
        <item x="272"/>
        <item x="196"/>
        <item x="216"/>
        <item x="180"/>
        <item x="11"/>
        <item x="32"/>
        <item x="182"/>
        <item x="142"/>
        <item x="289"/>
        <item x="217"/>
        <item x="201"/>
        <item x="30"/>
        <item x="203"/>
        <item x="46"/>
        <item x="237"/>
        <item x="236"/>
        <item x="222"/>
        <item x="166"/>
        <item x="43"/>
        <item x="114"/>
        <item x="224"/>
        <item x="256"/>
        <item x="72"/>
        <item x="44"/>
        <item x="242"/>
        <item x="186"/>
        <item x="136"/>
        <item x="62"/>
        <item x="244"/>
        <item x="255"/>
        <item x="261"/>
        <item x="158"/>
        <item x="92"/>
        <item x="59"/>
        <item x="207"/>
        <item x="263"/>
        <item x="75"/>
        <item x="79"/>
        <item x="178"/>
        <item x="279"/>
        <item x="228"/>
        <item x="113"/>
        <item x="281"/>
        <item x="76"/>
        <item x="199"/>
        <item x="95"/>
        <item x="100"/>
        <item x="135"/>
        <item x="220"/>
        <item x="97"/>
        <item x="267"/>
        <item x="118"/>
        <item x="240"/>
        <item x="123"/>
        <item x="157"/>
        <item x="285"/>
        <item x="85"/>
        <item x="120"/>
        <item x="259"/>
        <item x="21"/>
        <item x="140"/>
        <item x="144"/>
        <item x="277"/>
        <item x="141"/>
        <item x="107"/>
        <item x="163"/>
        <item x="37"/>
        <item x="168"/>
        <item x="2"/>
        <item x="165"/>
        <item x="183"/>
        <item x="130"/>
        <item x="188"/>
        <item x="51"/>
        <item x="204"/>
        <item x="185"/>
        <item x="20"/>
        <item x="225"/>
        <item x="209"/>
        <item x="151"/>
        <item x="68"/>
        <item x="245"/>
        <item x="206"/>
        <item x="230"/>
        <item x="264"/>
        <item x="36"/>
        <item x="227"/>
        <item x="282"/>
        <item x="173"/>
        <item x="249"/>
        <item x="247"/>
        <item x="269"/>
        <item x="50"/>
        <item x="106"/>
        <item x="193"/>
        <item x="287"/>
        <item x="266"/>
        <item x="5"/>
        <item x="67"/>
        <item x="129"/>
        <item x="25"/>
        <item x="40"/>
        <item x="284"/>
        <item x="150"/>
        <item x="84"/>
        <item x="54"/>
        <item x="65"/>
        <item x="71"/>
        <item x="89"/>
        <item x="104"/>
        <item x="110"/>
        <item x="214"/>
        <item x="127"/>
        <item x="133"/>
        <item x="148"/>
        <item x="172"/>
        <item x="154"/>
        <item x="192"/>
        <item x="274"/>
        <item x="1"/>
        <item x="19"/>
        <item x="213"/>
        <item x="35"/>
        <item x="234"/>
        <item x="49"/>
        <item x="253"/>
        <item x="66"/>
        <item x="273"/>
        <item x="91"/>
        <item x="290"/>
        <item x="83"/>
        <item x="112"/>
        <item x="105"/>
        <item x="128"/>
        <item x="156"/>
        <item x="149"/>
        <item x="177"/>
        <item x="198"/>
        <item x="219"/>
        <item x="239"/>
        <item x="258"/>
        <item x="0"/>
        <item x="276"/>
        <item x="18"/>
        <item t="default"/>
      </items>
    </pivotField>
    <pivotField dataField="1" showAll="0"/>
    <pivotField showAll="0"/>
    <pivotField showAll="0"/>
    <pivotField showAll="0"/>
    <pivotField showAll="0"/>
    <pivotField dataField="1" showAll="0"/>
    <pivotField showAll="0"/>
    <pivotField showAll="0"/>
    <pivotField showAll="0">
      <items count="296">
        <item x="106"/>
        <item x="129"/>
        <item x="66"/>
        <item x="150"/>
        <item x="174"/>
        <item x="194"/>
        <item x="276"/>
        <item x="215"/>
        <item x="236"/>
        <item x="256"/>
        <item x="294"/>
        <item x="280"/>
        <item x="290"/>
        <item x="262"/>
        <item x="242"/>
        <item x="272"/>
        <item x="222"/>
        <item x="201"/>
        <item x="252"/>
        <item x="180"/>
        <item x="160"/>
        <item x="138"/>
        <item x="116"/>
        <item x="232"/>
        <item x="211"/>
        <item x="190"/>
        <item x="170"/>
        <item x="102"/>
        <item x="125"/>
        <item x="146"/>
        <item x="81"/>
        <item x="63"/>
        <item x="47"/>
        <item x="32"/>
        <item x="14"/>
        <item x="151"/>
        <item x="130"/>
        <item x="107"/>
        <item x="18"/>
        <item x="85"/>
        <item x="67"/>
        <item x="50"/>
        <item x="35"/>
        <item x="0"/>
        <item x="19"/>
        <item x="1"/>
        <item x="156"/>
        <item x="135"/>
        <item x="112"/>
        <item x="91"/>
        <item x="72"/>
        <item x="55"/>
        <item x="41"/>
        <item x="25"/>
        <item x="285"/>
        <item x="5"/>
        <item x="267"/>
        <item x="247"/>
        <item x="227"/>
        <item x="206"/>
        <item x="185"/>
        <item x="165"/>
        <item x="142"/>
        <item x="120"/>
        <item x="97"/>
        <item x="77"/>
        <item x="44"/>
        <item x="258"/>
        <item x="238"/>
        <item x="218"/>
        <item x="197"/>
        <item x="89"/>
        <item x="39"/>
        <item x="4"/>
        <item x="23"/>
        <item x="261"/>
        <item x="279"/>
        <item x="241"/>
        <item x="221"/>
        <item x="200"/>
        <item x="179"/>
        <item x="158"/>
        <item x="114"/>
        <item x="93"/>
        <item x="86"/>
        <item x="68"/>
        <item x="51"/>
        <item x="36"/>
        <item x="20"/>
        <item x="2"/>
        <item x="281"/>
        <item x="263"/>
        <item x="243"/>
        <item x="223"/>
        <item x="195"/>
        <item x="175"/>
        <item x="153"/>
        <item x="132"/>
        <item x="117"/>
        <item x="109"/>
        <item x="202"/>
        <item x="87"/>
        <item x="139"/>
        <item x="161"/>
        <item x="181"/>
        <item x="57"/>
        <item x="28"/>
        <item x="8"/>
        <item x="292"/>
        <item x="274"/>
        <item x="254"/>
        <item x="234"/>
        <item x="213"/>
        <item x="192"/>
        <item x="172"/>
        <item x="148"/>
        <item x="127"/>
        <item x="287"/>
        <item x="104"/>
        <item x="269"/>
        <item x="83"/>
        <item x="64"/>
        <item x="288"/>
        <item x="33"/>
        <item x="16"/>
        <item x="48"/>
        <item x="249"/>
        <item x="278"/>
        <item x="270"/>
        <item x="289"/>
        <item x="257"/>
        <item x="229"/>
        <item x="271"/>
        <item x="237"/>
        <item x="250"/>
        <item x="230"/>
        <item x="251"/>
        <item x="217"/>
        <item x="208"/>
        <item x="209"/>
        <item x="231"/>
        <item x="196"/>
        <item x="188"/>
        <item x="187"/>
        <item x="176"/>
        <item x="168"/>
        <item x="154"/>
        <item x="210"/>
        <item x="133"/>
        <item x="167"/>
        <item x="169"/>
        <item x="144"/>
        <item x="110"/>
        <item x="123"/>
        <item x="88"/>
        <item x="70"/>
        <item x="79"/>
        <item x="53"/>
        <item x="100"/>
        <item x="145"/>
        <item x="38"/>
        <item x="189"/>
        <item x="143"/>
        <item x="22"/>
        <item x="3"/>
        <item x="61"/>
        <item x="124"/>
        <item x="101"/>
        <item x="122"/>
        <item x="80"/>
        <item x="31"/>
        <item x="62"/>
        <item x="46"/>
        <item x="12"/>
        <item x="99"/>
        <item x="13"/>
        <item x="78"/>
        <item x="286"/>
        <item x="60"/>
        <item x="268"/>
        <item x="45"/>
        <item x="248"/>
        <item x="284"/>
        <item x="30"/>
        <item x="228"/>
        <item x="266"/>
        <item x="207"/>
        <item x="11"/>
        <item x="186"/>
        <item x="246"/>
        <item x="166"/>
        <item x="226"/>
        <item x="282"/>
        <item x="264"/>
        <item x="244"/>
        <item x="205"/>
        <item x="224"/>
        <item x="121"/>
        <item x="203"/>
        <item x="260"/>
        <item x="182"/>
        <item x="184"/>
        <item x="162"/>
        <item x="140"/>
        <item x="240"/>
        <item x="118"/>
        <item x="98"/>
        <item x="95"/>
        <item x="75"/>
        <item x="220"/>
        <item x="58"/>
        <item x="43"/>
        <item x="29"/>
        <item x="164"/>
        <item x="9"/>
        <item x="199"/>
        <item x="178"/>
        <item x="157"/>
        <item x="136"/>
        <item x="113"/>
        <item x="15"/>
        <item x="103"/>
        <item x="82"/>
        <item x="212"/>
        <item x="147"/>
        <item x="126"/>
        <item x="171"/>
        <item x="92"/>
        <item x="233"/>
        <item x="191"/>
        <item x="253"/>
        <item x="273"/>
        <item x="291"/>
        <item x="73"/>
        <item x="56"/>
        <item x="6"/>
        <item x="42"/>
        <item x="26"/>
        <item x="10"/>
        <item x="59"/>
        <item x="76"/>
        <item x="96"/>
        <item x="119"/>
        <item x="141"/>
        <item x="265"/>
        <item x="283"/>
        <item x="245"/>
        <item x="225"/>
        <item x="163"/>
        <item x="183"/>
        <item x="204"/>
        <item x="277"/>
        <item x="293"/>
        <item x="216"/>
        <item x="275"/>
        <item x="255"/>
        <item x="235"/>
        <item x="214"/>
        <item x="152"/>
        <item x="193"/>
        <item x="173"/>
        <item x="131"/>
        <item x="149"/>
        <item x="108"/>
        <item x="128"/>
        <item x="105"/>
        <item x="84"/>
        <item x="69"/>
        <item x="65"/>
        <item x="49"/>
        <item x="52"/>
        <item x="34"/>
        <item x="37"/>
        <item x="17"/>
        <item x="259"/>
        <item x="21"/>
        <item x="239"/>
        <item x="219"/>
        <item x="198"/>
        <item x="177"/>
        <item x="155"/>
        <item x="134"/>
        <item x="111"/>
        <item x="90"/>
        <item x="71"/>
        <item x="54"/>
        <item x="40"/>
        <item x="24"/>
        <item x="159"/>
        <item x="137"/>
        <item x="115"/>
        <item x="94"/>
        <item x="74"/>
        <item x="27"/>
        <item x="7"/>
        <item t="default"/>
      </items>
    </pivotField>
    <pivotField showAll="0"/>
  </pivotFields>
  <rowFields count="1">
    <field x="0"/>
  </rowFields>
  <rowItems count="19">
    <i>
      <x/>
    </i>
    <i>
      <x v="1"/>
    </i>
    <i>
      <x v="2"/>
    </i>
    <i>
      <x v="5"/>
    </i>
    <i>
      <x v="6"/>
    </i>
    <i>
      <x v="7"/>
    </i>
    <i>
      <x v="9"/>
    </i>
    <i>
      <x v="10"/>
    </i>
    <i>
      <x v="12"/>
    </i>
    <i>
      <x v="14"/>
    </i>
    <i>
      <x v="15"/>
    </i>
    <i>
      <x v="17"/>
    </i>
    <i>
      <x v="20"/>
    </i>
    <i>
      <x v="22"/>
    </i>
    <i>
      <x v="23"/>
    </i>
    <i>
      <x v="24"/>
    </i>
    <i>
      <x v="25"/>
    </i>
    <i>
      <x v="26"/>
    </i>
    <i t="grand">
      <x/>
    </i>
  </rowItems>
  <colFields count="1">
    <field x="-2"/>
  </colFields>
  <colItems count="2">
    <i>
      <x/>
    </i>
    <i i="1">
      <x v="1"/>
    </i>
  </colItems>
  <dataFields count="2">
    <dataField name="Count of Corruption" fld="12" subtotal="count" baseField="0" baseItem="0"/>
    <dataField name="Average of Prevelance of Undernourishment" fld="7" subtotal="average" baseField="0" baseItem="5"/>
  </dataFields>
  <formats count="2">
    <format dxfId="42">
      <pivotArea field="0" type="button" dataOnly="0" labelOnly="1" outline="0" axis="axisRow" fieldPosition="0"/>
    </format>
    <format dxfId="41">
      <pivotArea dataOnly="0" labelOnly="1" outline="0" axis="axisValues" fieldPosition="0"/>
    </format>
  </formats>
  <chartFormats count="8">
    <chartFormat chart="44" format="12" series="1">
      <pivotArea type="data" outline="0" fieldPosition="0">
        <references count="1">
          <reference field="4294967294" count="1" selected="0">
            <x v="0"/>
          </reference>
        </references>
      </pivotArea>
    </chartFormat>
    <chartFormat chart="40" format="6" series="1">
      <pivotArea type="data" outline="0" fieldPosition="0">
        <references count="1">
          <reference field="4294967294" count="1" selected="0">
            <x v="0"/>
          </reference>
        </references>
      </pivotArea>
    </chartFormat>
    <chartFormat chart="44" format="15" series="1">
      <pivotArea type="data" outline="0" fieldPosition="0">
        <references count="1">
          <reference field="4294967294" count="1" selected="0">
            <x v="1"/>
          </reference>
        </references>
      </pivotArea>
    </chartFormat>
    <chartFormat chart="40" format="9" series="1">
      <pivotArea type="data" outline="0" fieldPosition="0">
        <references count="1">
          <reference field="4294967294" count="1" selected="0">
            <x v="1"/>
          </reference>
        </references>
      </pivotArea>
    </chartFormat>
    <chartFormat chart="59" format="0" series="1">
      <pivotArea type="data" outline="0" fieldPosition="0">
        <references count="1">
          <reference field="4294967294" count="1" selected="0">
            <x v="0"/>
          </reference>
        </references>
      </pivotArea>
    </chartFormat>
    <chartFormat chart="59" format="1" series="1">
      <pivotArea type="data" outline="0" fieldPosition="0">
        <references count="1">
          <reference field="4294967294" count="1" selected="0">
            <x v="1"/>
          </reference>
        </references>
      </pivotArea>
    </chartFormat>
    <chartFormat chart="63" format="4" series="1">
      <pivotArea type="data" outline="0" fieldPosition="0">
        <references count="1">
          <reference field="4294967294" count="1" selected="0">
            <x v="0"/>
          </reference>
        </references>
      </pivotArea>
    </chartFormat>
    <chartFormat chart="6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2">
    <filter fld="4" type="dateBetween" evalOrder="-1" id="162" name="DATE">
      <autoFilter ref="A1">
        <filterColumn colId="0">
          <customFilters and="1">
            <customFilter operator="greaterThanOrEqual" val="38353"/>
            <customFilter operator="lessThanOrEqual" val="38717"/>
          </customFilters>
        </filterColumn>
      </autoFilter>
      <extLst>
        <ext xmlns:x15="http://schemas.microsoft.com/office/spreadsheetml/2010/11/main" uri="{0605FD5F-26C8-4aeb-8148-2DB25E43C511}">
          <x15:pivotFilter useWholeDay="1"/>
        </ext>
      </extLst>
    </filter>
    <filter fld="0" type="count" evalOrder="-1" id="153"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DB7953-8656-4F8F-B3D3-95ABBED12529}"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0">
  <location ref="A28:C39" firstHeaderRow="0" firstDataRow="1" firstDataCol="1"/>
  <pivotFields count="17">
    <pivotField axis="axisRow" showAll="0" measureFilter="1">
      <items count="28">
        <item x="0"/>
        <item x="1"/>
        <item x="2"/>
        <item x="18"/>
        <item x="22"/>
        <item x="3"/>
        <item x="15"/>
        <item x="4"/>
        <item x="19"/>
        <item x="5"/>
        <item x="6"/>
        <item x="23"/>
        <item x="7"/>
        <item x="25"/>
        <item x="8"/>
        <item x="9"/>
        <item x="24"/>
        <item x="10"/>
        <item x="20"/>
        <item x="26"/>
        <item x="11"/>
        <item x="21"/>
        <item x="14"/>
        <item x="12"/>
        <item x="13"/>
        <item x="17"/>
        <item x="16"/>
        <item t="default"/>
      </items>
    </pivotField>
    <pivotField showAll="0"/>
    <pivotField showAll="0">
      <items count="7">
        <item x="4"/>
        <item x="0"/>
        <item x="5"/>
        <item x="2"/>
        <item x="3"/>
        <item x="1"/>
        <item t="default"/>
      </items>
    </pivotField>
    <pivotField showAll="0">
      <items count="4">
        <item x="1"/>
        <item x="2"/>
        <item x="0"/>
        <item t="default"/>
      </items>
    </pivotField>
    <pivotField numFmtId="14" showAll="0">
      <items count="16">
        <item x="0"/>
        <item x="1"/>
        <item x="2"/>
        <item x="3"/>
        <item x="4"/>
        <item x="5"/>
        <item x="6"/>
        <item x="7"/>
        <item x="8"/>
        <item x="9"/>
        <item x="10"/>
        <item x="11"/>
        <item x="12"/>
        <item x="13"/>
        <item x="14"/>
        <item t="default"/>
      </items>
    </pivotField>
    <pivotField showAll="0"/>
    <pivotField showAll="0"/>
    <pivotField showAll="0"/>
    <pivotField showAll="0"/>
    <pivotField dataField="1" showAll="0"/>
    <pivotField dataField="1" showAll="0"/>
    <pivotField showAll="0"/>
    <pivotField showAll="0"/>
    <pivotField showAll="0"/>
    <pivotField showAll="0"/>
    <pivotField showAll="0"/>
    <pivotField showAll="0"/>
  </pivotFields>
  <rowFields count="1">
    <field x="0"/>
  </rowFields>
  <rowItems count="11">
    <i>
      <x/>
    </i>
    <i>
      <x v="1"/>
    </i>
    <i>
      <x v="6"/>
    </i>
    <i>
      <x v="9"/>
    </i>
    <i>
      <x v="14"/>
    </i>
    <i>
      <x v="15"/>
    </i>
    <i>
      <x v="17"/>
    </i>
    <i>
      <x v="22"/>
    </i>
    <i>
      <x v="24"/>
    </i>
    <i>
      <x v="25"/>
    </i>
    <i t="grand">
      <x/>
    </i>
  </rowItems>
  <colFields count="1">
    <field x="-2"/>
  </colFields>
  <colItems count="2">
    <i>
      <x/>
    </i>
    <i i="1">
      <x v="1"/>
    </i>
  </colItems>
  <dataFields count="2">
    <dataField name="Average of Health Expenditure %" fld="9" subtotal="average" baseField="0" baseItem="0"/>
    <dataField name="Average of Education Expenditure %" fld="10" subtotal="average" baseField="0" baseItem="0"/>
  </dataFields>
  <chartFormats count="14">
    <chartFormat chart="6"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27" format="8" series="1">
      <pivotArea type="data" outline="0" fieldPosition="0">
        <references count="1">
          <reference field="4294967294" count="1" selected="0">
            <x v="0"/>
          </reference>
        </references>
      </pivotArea>
    </chartFormat>
    <chartFormat chart="27" format="9" series="1">
      <pivotArea type="data" outline="0" fieldPosition="0">
        <references count="1">
          <reference field="4294967294" count="1" selected="0">
            <x v="1"/>
          </reference>
        </references>
      </pivotArea>
    </chartFormat>
    <chartFormat chart="28" format="10" series="1">
      <pivotArea type="data" outline="0" fieldPosition="0">
        <references count="1">
          <reference field="4294967294" count="1" selected="0">
            <x v="0"/>
          </reference>
        </references>
      </pivotArea>
    </chartFormat>
    <chartFormat chart="28" format="11" series="1">
      <pivotArea type="data" outline="0" fieldPosition="0">
        <references count="1">
          <reference field="4294967294" count="1" selected="0">
            <x v="1"/>
          </reference>
        </references>
      </pivotArea>
    </chartFormat>
    <chartFormat chart="30" format="12" series="1">
      <pivotArea type="data" outline="0" fieldPosition="0">
        <references count="1">
          <reference field="4294967294" count="1" selected="0">
            <x v="0"/>
          </reference>
        </references>
      </pivotArea>
    </chartFormat>
    <chartFormat chart="30" format="13" series="1">
      <pivotArea type="data" outline="0" fieldPosition="0">
        <references count="1">
          <reference field="4294967294" count="1" selected="0">
            <x v="1"/>
          </reference>
        </references>
      </pivotArea>
    </chartFormat>
    <chartFormat chart="31" format="14" series="1">
      <pivotArea type="data" outline="0" fieldPosition="0">
        <references count="1">
          <reference field="4294967294" count="1" selected="0">
            <x v="0"/>
          </reference>
        </references>
      </pivotArea>
    </chartFormat>
    <chartFormat chart="31" format="15" series="1">
      <pivotArea type="data" outline="0" fieldPosition="0">
        <references count="1">
          <reference field="4294967294" count="1" selected="0">
            <x v="1"/>
          </reference>
        </references>
      </pivotArea>
    </chartFormat>
    <chartFormat chart="39" format="10" series="1">
      <pivotArea type="data" outline="0" fieldPosition="0">
        <references count="1">
          <reference field="4294967294" count="1" selected="0">
            <x v="0"/>
          </reference>
        </references>
      </pivotArea>
    </chartFormat>
    <chartFormat chart="39"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2">
    <filter fld="4" type="dateBetween" evalOrder="-1" id="153" name="DATE">
      <autoFilter ref="A1">
        <filterColumn colId="0">
          <customFilters and="1">
            <customFilter operator="greaterThanOrEqual" val="38353"/>
            <customFilter operator="lessThanOrEqual" val="38717"/>
          </customFilters>
        </filterColumn>
      </autoFilter>
      <extLst>
        <ext xmlns:x15="http://schemas.microsoft.com/office/spreadsheetml/2010/11/main" uri="{0605FD5F-26C8-4aeb-8148-2DB25E43C511}">
          <x15:pivotFilter useWholeDay="1"/>
        </ext>
      </extLst>
    </filter>
    <filter fld="0" type="count" evalOrder="-1" id="1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740B404-416F-4004-B459-4F4132CB1910}" autoFormatId="16" applyNumberFormats="0" applyBorderFormats="0" applyFontFormats="0" applyPatternFormats="0" applyAlignmentFormats="0" applyWidthHeightFormats="0">
  <queryTableRefresh nextId="18">
    <queryTableFields count="17">
      <queryTableField id="1" name="Country Name" tableColumnId="1"/>
      <queryTableField id="2" name="Country Code" tableColumnId="2"/>
      <queryTableField id="3" name="Region" tableColumnId="3"/>
      <queryTableField id="4" name="IncomeGroup" tableColumnId="4"/>
      <queryTableField id="17" dataBound="0" tableColumnId="17"/>
      <queryTableField id="5" name="Year" tableColumnId="5"/>
      <queryTableField id="6" name="Life Expectancy World Bank" tableColumnId="6"/>
      <queryTableField id="7" name="Prevelance of Undernourishment" tableColumnId="7"/>
      <queryTableField id="8" name="CO2" tableColumnId="8"/>
      <queryTableField id="9" name="Health Expenditure %" tableColumnId="9"/>
      <queryTableField id="10" name="Education Expenditure %" tableColumnId="10"/>
      <queryTableField id="11" name="Unemployment" tableColumnId="11"/>
      <queryTableField id="12" name="Corruption" tableColumnId="12"/>
      <queryTableField id="13" name="Sanitation" tableColumnId="13"/>
      <queryTableField id="14" name="Injuries" tableColumnId="14"/>
      <queryTableField id="15" name="Communicable" tableColumnId="15"/>
      <queryTableField id="16" name="NonCommunicable"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FCA2B1A-F236-4BAE-B0AE-652AA88578A2}" sourceName="Region">
  <pivotTables>
    <pivotTable tabId="2" name="PivotTable4"/>
    <pivotTable tabId="2" name="PivotTable1"/>
    <pivotTable tabId="2" name="PivotTable2"/>
    <pivotTable tabId="2" name="PivotTable3"/>
    <pivotTable tabId="2" name="PivotTable5"/>
    <pivotTable tabId="2" name="PivotTable6"/>
    <pivotTable tabId="2" name="PivotTable8"/>
    <pivotTable tabId="2" name="PivotTable9"/>
  </pivotTables>
  <data>
    <tabular pivotCacheId="263958863">
      <items count="6">
        <i x="4" s="1"/>
        <i x="0" s="1"/>
        <i x="5"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Group" xr10:uid="{628CDD90-1678-40DA-A326-8FFDACE8F80D}" sourceName="IncomeGroup">
  <pivotTables>
    <pivotTable tabId="2" name="PivotTable6"/>
    <pivotTable tabId="2" name="PivotTable1"/>
    <pivotTable tabId="2" name="PivotTable2"/>
    <pivotTable tabId="2" name="PivotTable3"/>
    <pivotTable tabId="2" name="PivotTable4"/>
    <pivotTable tabId="2" name="PivotTable5"/>
    <pivotTable tabId="2" name="PivotTable8"/>
    <pivotTable tabId="2" name="PivotTable9"/>
  </pivotTables>
  <data>
    <tabular pivotCacheId="263958863">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B260406-5AD0-4746-9DA8-1FCA2BF9EE93}" cache="Slicer_Region" caption="Region" style="SlicerStyleDark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248101A-6015-4DC1-8A0B-7264F9E355C8}" cache="Slicer_Region" caption="Region" style="SlicerStyleDark1" rowHeight="247650"/>
  <slicer name="IncomeGroup" xr10:uid="{8BDFBBCC-6F1D-485B-83FC-6292775DFA22}" cache="Slicer_IncomeGroup" caption="IncomeGroup" style="SlicerStyleDark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FC8C186C-90E2-42DA-8870-047A98E0DC1F}" cache="Slicer_Region" caption="Region" style="Slicer Style 2" rowHeight="247650"/>
  <slicer name="IncomeGroup 1" xr10:uid="{D64A5F82-5616-42BF-A9FC-AE8BE55BA784}" cache="Slicer_IncomeGroup" caption="IncomeGroup" style="Slicer Style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DE4E85-6F73-4A64-B4FE-EA7C2B91CB0F}" name="life_expectancy" displayName="life_expectancy" ref="A1:Q296" tableType="queryTable" totalsRowShown="0">
  <autoFilter ref="A1:Q296" xr:uid="{61DE4E85-6F73-4A64-B4FE-EA7C2B91CB0F}"/>
  <tableColumns count="17">
    <tableColumn id="1" xr3:uid="{D7CAC384-CD2A-45F3-87E2-3327FF7918EB}" uniqueName="1" name="Country Name" queryTableFieldId="1" dataDxfId="49"/>
    <tableColumn id="2" xr3:uid="{AFD66267-1114-4295-87D5-AD8E691FC674}" uniqueName="2" name="Country Code" queryTableFieldId="2" dataDxfId="48"/>
    <tableColumn id="3" xr3:uid="{95518D13-506D-4EA4-A0F1-5BD5AAEFBDF8}" uniqueName="3" name="Region" queryTableFieldId="3" dataDxfId="47"/>
    <tableColumn id="4" xr3:uid="{5992D782-BF48-498E-9AB0-A3DA601A6CC2}" uniqueName="4" name="IncomeGroup" queryTableFieldId="4" dataDxfId="46"/>
    <tableColumn id="17" xr3:uid="{A766C4EC-27EF-43BC-A2A2-EF72545786C1}" uniqueName="17" name="DATE" queryTableFieldId="17" dataDxfId="45">
      <calculatedColumnFormula>DATE(F2,1,1)</calculatedColumnFormula>
    </tableColumn>
    <tableColumn id="5" xr3:uid="{E46A4C77-1998-4314-B272-1A1D7DE620B1}" uniqueName="5" name="Year" queryTableFieldId="5" dataDxfId="44"/>
    <tableColumn id="6" xr3:uid="{DCD2FB18-CEF1-4012-96FF-48F035E5A009}" uniqueName="6" name="Life Expectancy World Bank" queryTableFieldId="6"/>
    <tableColumn id="7" xr3:uid="{25AF86E0-316E-4B60-993B-51A3BC6936FC}" uniqueName="7" name="Prevelance of Undernourishment" queryTableFieldId="7"/>
    <tableColumn id="8" xr3:uid="{D8AEC818-8DF0-4E03-8511-7541A51EE914}" uniqueName="8" name="CO2" queryTableFieldId="8"/>
    <tableColumn id="9" xr3:uid="{47F08AA7-407B-4EAE-92BB-F18EB041B23F}" uniqueName="9" name="Health Expenditure %" queryTableFieldId="9"/>
    <tableColumn id="10" xr3:uid="{1C26E897-E011-4EB7-9BB4-C754B7F1BDC9}" uniqueName="10" name="Education Expenditure %" queryTableFieldId="10"/>
    <tableColumn id="11" xr3:uid="{FA939A42-7553-4100-A052-76FB8F2F0A9E}" uniqueName="11" name="Unemployment" queryTableFieldId="11"/>
    <tableColumn id="12" xr3:uid="{395ED32A-1470-491B-951F-3D11474DEA65}" uniqueName="12" name="Corruption" queryTableFieldId="12" dataDxfId="43"/>
    <tableColumn id="13" xr3:uid="{BC489FA5-AA85-4BD8-894D-385DAEF9E6C8}" uniqueName="13" name="Sanitation" queryTableFieldId="13"/>
    <tableColumn id="14" xr3:uid="{8BDAEB07-590A-435D-9EB3-191A29D32600}" uniqueName="14" name="Injuries" queryTableFieldId="14"/>
    <tableColumn id="15" xr3:uid="{98EC1B7D-2E12-4019-88B9-5990BEDF6F48}" uniqueName="15" name="Communicable" queryTableFieldId="15"/>
    <tableColumn id="16" xr3:uid="{76CF8F6D-5769-42E2-8C75-5768F5A552E3}" uniqueName="16" name="NonCommunicable" queryTableField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dk1">
            <a:alpha val="50000"/>
          </a:schemeClr>
        </a:solidFill>
        <a:ln>
          <a:noFill/>
        </a:ln>
      </a:spPr>
      <a:bodyPr/>
      <a:lstStyle/>
      <a:style>
        <a:lnRef idx="0">
          <a:scrgbClr r="0" g="0" b="0"/>
        </a:lnRef>
        <a:fillRef idx="0">
          <a:scrgbClr r="0" g="0" b="0"/>
        </a:fillRef>
        <a:effectRef idx="0">
          <a:scrgbClr r="0" g="0" b="0"/>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71086EF-267F-401D-806A-7C0E9329BD78}" sourceName="DATE">
  <pivotTables>
    <pivotTable tabId="2" name="PivotTable6"/>
    <pivotTable tabId="2" name="PivotTable1"/>
    <pivotTable tabId="2" name="PivotTable2"/>
    <pivotTable tabId="2" name="PivotTable3"/>
    <pivotTable tabId="2" name="PivotTable4"/>
    <pivotTable tabId="2" name="PivotTable5"/>
    <pivotTable tabId="2" name="PivotTable8"/>
    <pivotTable tabId="2" name="PivotTable9"/>
  </pivotTables>
  <state minimalRefreshVersion="6" lastRefreshVersion="6" pivotCacheId="263958863" filterType="dateBetween">
    <selection startDate="2005-01-01T00:00:00" endDate="2005-12-31T00:00:00"/>
    <bounds startDate="2005-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8EA6C9A-DA36-4D8A-91F2-9FE2CBD3FEB3}" cache="NativeTimeline_DATE" caption="DATE" level="2" selectionLevel="0" scrollPosition="2005-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8D1028A2-C3CC-4345-9491-C8F73F08C50E}" cache="NativeTimeline_DATE" caption="DATE" level="2" selectionLevel="0" scrollPosition="2005-01-01T00:00:00" style="Timeline Style 1"/>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3EF3DF38-CA0E-439D-9902-7B0D34808B4A}" cache="NativeTimeline_DATE" caption="DATE" level="0" selectionLevel="0" scrollPosition="2005-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29F5B-47E5-43C1-B655-1BF68BA24305}">
  <dimension ref="A1:Q296"/>
  <sheetViews>
    <sheetView workbookViewId="0">
      <selection activeCell="E1" sqref="E1:E1048576"/>
    </sheetView>
  </sheetViews>
  <sheetFormatPr defaultRowHeight="14.4" x14ac:dyDescent="0.3"/>
  <cols>
    <col min="1" max="1" width="20.5546875" bestFit="1" customWidth="1"/>
    <col min="2" max="2" width="14.33203125" bestFit="1" customWidth="1"/>
    <col min="3" max="3" width="22.5546875" bestFit="1" customWidth="1"/>
    <col min="4" max="4" width="18.21875" bestFit="1" customWidth="1"/>
    <col min="5" max="5" width="11" style="5" bestFit="1" customWidth="1"/>
    <col min="6" max="6" width="6.88671875" bestFit="1" customWidth="1"/>
    <col min="7" max="7" width="26.21875" bestFit="1" customWidth="1"/>
    <col min="8" max="8" width="30.5546875" bestFit="1" customWidth="1"/>
    <col min="9" max="9" width="12" bestFit="1" customWidth="1"/>
    <col min="10" max="10" width="21.21875" bestFit="1" customWidth="1"/>
    <col min="11" max="11" width="24.109375" bestFit="1" customWidth="1"/>
    <col min="12" max="12" width="16.109375" bestFit="1" customWidth="1"/>
    <col min="13" max="13" width="12.109375" bestFit="1" customWidth="1"/>
    <col min="14" max="15" width="12" bestFit="1" customWidth="1"/>
    <col min="16" max="16" width="16.109375" bestFit="1" customWidth="1"/>
    <col min="17" max="17" width="19.5546875" bestFit="1" customWidth="1"/>
  </cols>
  <sheetData>
    <row r="1" spans="1:17" x14ac:dyDescent="0.3">
      <c r="A1" t="s">
        <v>36</v>
      </c>
      <c r="B1" t="s">
        <v>37</v>
      </c>
      <c r="C1" t="s">
        <v>38</v>
      </c>
      <c r="D1" t="s">
        <v>39</v>
      </c>
      <c r="E1" s="5" t="s">
        <v>93</v>
      </c>
      <c r="F1" t="s">
        <v>40</v>
      </c>
      <c r="G1" t="s">
        <v>41</v>
      </c>
      <c r="H1" t="s">
        <v>42</v>
      </c>
      <c r="I1" t="s">
        <v>43</v>
      </c>
      <c r="J1" t="s">
        <v>44</v>
      </c>
      <c r="K1" t="s">
        <v>45</v>
      </c>
      <c r="L1" t="s">
        <v>46</v>
      </c>
      <c r="M1" t="s">
        <v>47</v>
      </c>
      <c r="N1" t="s">
        <v>48</v>
      </c>
      <c r="O1" t="s">
        <v>49</v>
      </c>
      <c r="P1" t="s">
        <v>50</v>
      </c>
      <c r="Q1" t="s">
        <v>51</v>
      </c>
    </row>
    <row r="2" spans="1:17" x14ac:dyDescent="0.3">
      <c r="A2" t="s">
        <v>4</v>
      </c>
      <c r="B2" t="s">
        <v>52</v>
      </c>
      <c r="C2" t="s">
        <v>16</v>
      </c>
      <c r="D2" t="s">
        <v>53</v>
      </c>
      <c r="E2" s="5">
        <f t="shared" ref="E2:E65" si="0">DATE(F2,1,1)</f>
        <v>38353</v>
      </c>
      <c r="F2">
        <v>2005</v>
      </c>
      <c r="G2">
        <v>75.227999999999994</v>
      </c>
      <c r="H2">
        <v>8.9</v>
      </c>
      <c r="I2">
        <v>4030.0002098083501</v>
      </c>
      <c r="J2">
        <v>6.3355417300000001</v>
      </c>
      <c r="K2">
        <v>3.2815499305725102</v>
      </c>
      <c r="L2">
        <v>15.9700002670288</v>
      </c>
      <c r="M2" t="s">
        <v>54</v>
      </c>
      <c r="N2">
        <v>41.875655020000004</v>
      </c>
      <c r="O2">
        <v>94241.87</v>
      </c>
      <c r="P2">
        <v>99241.18</v>
      </c>
      <c r="Q2">
        <v>568930.66</v>
      </c>
    </row>
    <row r="3" spans="1:17" x14ac:dyDescent="0.3">
      <c r="A3" t="s">
        <v>5</v>
      </c>
      <c r="B3" t="s">
        <v>55</v>
      </c>
      <c r="C3" t="s">
        <v>16</v>
      </c>
      <c r="D3" t="s">
        <v>53</v>
      </c>
      <c r="E3" s="5">
        <f t="shared" si="0"/>
        <v>38353</v>
      </c>
      <c r="F3">
        <v>2005</v>
      </c>
      <c r="G3">
        <v>72.626000000000005</v>
      </c>
      <c r="H3">
        <v>12.3</v>
      </c>
      <c r="I3">
        <v>4460.0000381469699</v>
      </c>
      <c r="J3">
        <v>5.8618826899999998</v>
      </c>
      <c r="K3">
        <v>2.7120299339294398</v>
      </c>
      <c r="L3">
        <v>10.203000068664601</v>
      </c>
      <c r="M3" t="s">
        <v>56</v>
      </c>
      <c r="N3">
        <v>46.657124529999997</v>
      </c>
      <c r="O3">
        <v>92659.79</v>
      </c>
      <c r="P3">
        <v>105444.38</v>
      </c>
      <c r="Q3">
        <v>793047.77</v>
      </c>
    </row>
    <row r="4" spans="1:17" x14ac:dyDescent="0.3">
      <c r="A4" t="s">
        <v>6</v>
      </c>
      <c r="B4" t="s">
        <v>57</v>
      </c>
      <c r="C4" t="s">
        <v>16</v>
      </c>
      <c r="D4" t="s">
        <v>53</v>
      </c>
      <c r="E4" s="5">
        <f t="shared" si="0"/>
        <v>38353</v>
      </c>
      <c r="F4">
        <v>2005</v>
      </c>
      <c r="G4">
        <v>68.747</v>
      </c>
      <c r="H4">
        <v>4.8</v>
      </c>
      <c r="I4">
        <v>30040.0009155273</v>
      </c>
      <c r="J4">
        <v>2.2610766899999999</v>
      </c>
      <c r="K4">
        <v>2.97462010383606</v>
      </c>
      <c r="L4">
        <v>7.2600002288818404</v>
      </c>
      <c r="M4" t="s">
        <v>56</v>
      </c>
      <c r="N4">
        <v>23.121007880000001</v>
      </c>
      <c r="O4">
        <v>240229.35</v>
      </c>
      <c r="P4">
        <v>826520.96</v>
      </c>
      <c r="Q4">
        <v>2003781.9</v>
      </c>
    </row>
    <row r="5" spans="1:17" x14ac:dyDescent="0.3">
      <c r="A5" t="s">
        <v>21</v>
      </c>
      <c r="B5" t="s">
        <v>58</v>
      </c>
      <c r="C5" t="s">
        <v>20</v>
      </c>
      <c r="D5" t="s">
        <v>59</v>
      </c>
      <c r="E5" s="5">
        <f t="shared" si="0"/>
        <v>38353</v>
      </c>
      <c r="F5">
        <v>2005</v>
      </c>
      <c r="G5">
        <v>44.744</v>
      </c>
      <c r="H5">
        <v>39.6</v>
      </c>
      <c r="I5">
        <v>219.99999880790699</v>
      </c>
      <c r="J5">
        <v>4.3673214900000001</v>
      </c>
      <c r="K5">
        <v>1.6522200107574501</v>
      </c>
      <c r="L5">
        <v>5.6950001716613796</v>
      </c>
      <c r="M5" t="s">
        <v>56</v>
      </c>
      <c r="N5">
        <v>19.090005260000002</v>
      </c>
      <c r="O5">
        <v>310132.64</v>
      </c>
      <c r="P5">
        <v>3766393.86</v>
      </c>
      <c r="Q5">
        <v>805165.65</v>
      </c>
    </row>
    <row r="6" spans="1:17" x14ac:dyDescent="0.3">
      <c r="A6" t="s">
        <v>31</v>
      </c>
      <c r="B6" t="s">
        <v>60</v>
      </c>
      <c r="C6" t="s">
        <v>18</v>
      </c>
      <c r="D6" t="s">
        <v>61</v>
      </c>
      <c r="E6" s="5">
        <f t="shared" si="0"/>
        <v>38353</v>
      </c>
      <c r="F6">
        <v>2005</v>
      </c>
      <c r="G6">
        <v>57.991</v>
      </c>
      <c r="H6">
        <v>31.3</v>
      </c>
      <c r="I6">
        <v>430.00000715255698</v>
      </c>
      <c r="J6">
        <v>3.2246723199999998</v>
      </c>
      <c r="K6">
        <v>8.3658895492553693</v>
      </c>
      <c r="L6">
        <v>27.719999313354499</v>
      </c>
      <c r="M6" t="s">
        <v>56</v>
      </c>
      <c r="N6">
        <v>25.705269189999999</v>
      </c>
      <c r="O6">
        <v>28409.67</v>
      </c>
      <c r="P6">
        <v>310769.59000000003</v>
      </c>
      <c r="Q6">
        <v>115615.6</v>
      </c>
    </row>
    <row r="7" spans="1:17" x14ac:dyDescent="0.3">
      <c r="A7" t="s">
        <v>9</v>
      </c>
      <c r="B7" t="s">
        <v>62</v>
      </c>
      <c r="C7" t="s">
        <v>16</v>
      </c>
      <c r="D7" t="s">
        <v>53</v>
      </c>
      <c r="E7" s="5">
        <f t="shared" si="0"/>
        <v>38353</v>
      </c>
      <c r="F7">
        <v>2005</v>
      </c>
      <c r="G7">
        <v>70.537999999999997</v>
      </c>
      <c r="H7">
        <v>4.0999999999999996</v>
      </c>
      <c r="I7">
        <v>4239.9997711181604</v>
      </c>
      <c r="J7">
        <v>8.0773410800000001</v>
      </c>
      <c r="K7">
        <v>2.4843199253082302</v>
      </c>
      <c r="L7">
        <v>13.810000419616699</v>
      </c>
      <c r="M7" t="s">
        <v>63</v>
      </c>
      <c r="N7">
        <v>44.428918109999998</v>
      </c>
      <c r="O7">
        <v>140712.60999999999</v>
      </c>
      <c r="P7">
        <v>163212.97</v>
      </c>
      <c r="Q7">
        <v>1404204.32</v>
      </c>
    </row>
    <row r="8" spans="1:17" x14ac:dyDescent="0.3">
      <c r="A8" t="s">
        <v>23</v>
      </c>
      <c r="B8" t="s">
        <v>64</v>
      </c>
      <c r="C8" t="s">
        <v>20</v>
      </c>
      <c r="D8" t="s">
        <v>61</v>
      </c>
      <c r="E8" s="5">
        <f t="shared" si="0"/>
        <v>38353</v>
      </c>
      <c r="F8">
        <v>2005</v>
      </c>
      <c r="G8">
        <v>58.719000000000001</v>
      </c>
      <c r="H8">
        <v>11.2</v>
      </c>
      <c r="I8">
        <v>7039.9999618530301</v>
      </c>
      <c r="J8">
        <v>3.6426563299999999</v>
      </c>
      <c r="K8">
        <v>7.42208003997803</v>
      </c>
      <c r="L8">
        <v>5.6189999580383301</v>
      </c>
      <c r="M8" t="s">
        <v>63</v>
      </c>
      <c r="N8">
        <v>6.2781861589999997</v>
      </c>
      <c r="O8">
        <v>689437.77</v>
      </c>
      <c r="P8">
        <v>8669563.5500000007</v>
      </c>
      <c r="Q8">
        <v>3585007.12</v>
      </c>
    </row>
    <row r="9" spans="1:17" x14ac:dyDescent="0.3">
      <c r="A9" t="s">
        <v>32</v>
      </c>
      <c r="B9" t="s">
        <v>65</v>
      </c>
      <c r="C9" t="s">
        <v>19</v>
      </c>
      <c r="D9" t="s">
        <v>61</v>
      </c>
      <c r="E9" s="5">
        <f t="shared" si="0"/>
        <v>38353</v>
      </c>
      <c r="F9">
        <v>2005</v>
      </c>
      <c r="G9">
        <v>64.5</v>
      </c>
      <c r="H9">
        <v>21.6</v>
      </c>
      <c r="I9">
        <v>1136469.9707031299</v>
      </c>
      <c r="J9">
        <v>3.7911624900000001</v>
      </c>
      <c r="K9">
        <v>3.1887500286102299</v>
      </c>
      <c r="L9">
        <v>5.6129999160766602</v>
      </c>
      <c r="M9" t="s">
        <v>63</v>
      </c>
      <c r="N9">
        <v>15.321117599999999</v>
      </c>
      <c r="O9">
        <v>53131679.509999998</v>
      </c>
      <c r="P9">
        <v>245719584.30000001</v>
      </c>
      <c r="Q9">
        <v>202654074.69999999</v>
      </c>
    </row>
    <row r="10" spans="1:17" x14ac:dyDescent="0.3">
      <c r="A10" t="s">
        <v>66</v>
      </c>
      <c r="B10" t="s">
        <v>67</v>
      </c>
      <c r="C10" t="s">
        <v>20</v>
      </c>
      <c r="D10" t="s">
        <v>61</v>
      </c>
      <c r="E10" s="5">
        <f t="shared" si="0"/>
        <v>38353</v>
      </c>
      <c r="F10">
        <v>2005</v>
      </c>
      <c r="G10">
        <v>42.658000000000001</v>
      </c>
      <c r="H10">
        <v>13.7</v>
      </c>
      <c r="I10">
        <v>430.00000715255698</v>
      </c>
      <c r="J10">
        <v>5.4492669100000004</v>
      </c>
      <c r="K10">
        <v>12.0796604156494</v>
      </c>
      <c r="L10">
        <v>31.309999465942401</v>
      </c>
      <c r="M10" t="s">
        <v>63</v>
      </c>
      <c r="N10">
        <v>18.129543160000001</v>
      </c>
      <c r="O10">
        <v>150238.57999999999</v>
      </c>
      <c r="P10">
        <v>1587788.28</v>
      </c>
      <c r="Q10">
        <v>397447.7</v>
      </c>
    </row>
    <row r="11" spans="1:17" x14ac:dyDescent="0.3">
      <c r="A11" t="s">
        <v>24</v>
      </c>
      <c r="B11" t="s">
        <v>68</v>
      </c>
      <c r="C11" t="s">
        <v>20</v>
      </c>
      <c r="D11" t="s">
        <v>59</v>
      </c>
      <c r="E11" s="5">
        <f t="shared" si="0"/>
        <v>38353</v>
      </c>
      <c r="F11">
        <v>2005</v>
      </c>
      <c r="G11">
        <v>61.212000000000003</v>
      </c>
      <c r="H11">
        <v>33.4</v>
      </c>
      <c r="I11">
        <v>1710.0000381469699</v>
      </c>
      <c r="J11">
        <v>5.2026195499999996</v>
      </c>
      <c r="K11">
        <v>3.3096399307250999</v>
      </c>
      <c r="L11">
        <v>2.6199998855590798</v>
      </c>
      <c r="M11" t="s">
        <v>63</v>
      </c>
      <c r="N11">
        <v>5.267388146</v>
      </c>
      <c r="O11">
        <v>501460.34</v>
      </c>
      <c r="P11">
        <v>7259330.4299999997</v>
      </c>
      <c r="Q11">
        <v>2955506.1</v>
      </c>
    </row>
    <row r="12" spans="1:17" x14ac:dyDescent="0.3">
      <c r="A12" t="s">
        <v>25</v>
      </c>
      <c r="B12" t="s">
        <v>69</v>
      </c>
      <c r="C12" t="s">
        <v>20</v>
      </c>
      <c r="D12" t="s">
        <v>59</v>
      </c>
      <c r="E12" s="5">
        <f t="shared" si="0"/>
        <v>38353</v>
      </c>
      <c r="F12">
        <v>2005</v>
      </c>
      <c r="G12">
        <v>52.057000000000002</v>
      </c>
      <c r="H12">
        <v>13.3</v>
      </c>
      <c r="I12">
        <v>1649.99997615814</v>
      </c>
      <c r="J12">
        <v>5.1951570499999997</v>
      </c>
      <c r="K12">
        <v>3.5221800804138201</v>
      </c>
      <c r="L12">
        <v>9.6890001296997106</v>
      </c>
      <c r="M12" t="s">
        <v>63</v>
      </c>
      <c r="N12">
        <v>9.3988921239999996</v>
      </c>
      <c r="O12">
        <v>559210.25</v>
      </c>
      <c r="P12">
        <v>10106599.710000001</v>
      </c>
      <c r="Q12">
        <v>2255837.98</v>
      </c>
    </row>
    <row r="13" spans="1:17" x14ac:dyDescent="0.3">
      <c r="A13" t="s">
        <v>12</v>
      </c>
      <c r="B13" t="s">
        <v>70</v>
      </c>
      <c r="C13" t="s">
        <v>19</v>
      </c>
      <c r="D13" t="s">
        <v>61</v>
      </c>
      <c r="E13" s="5">
        <f t="shared" si="0"/>
        <v>38353</v>
      </c>
      <c r="F13">
        <v>2005</v>
      </c>
      <c r="G13">
        <v>65.263999999999996</v>
      </c>
      <c r="H13">
        <v>16.8</v>
      </c>
      <c r="I13">
        <v>3190.0000572204599</v>
      </c>
      <c r="J13">
        <v>3.9422106700000001</v>
      </c>
      <c r="K13">
        <v>3.3646399974822998</v>
      </c>
      <c r="L13">
        <v>1.4579999446868901</v>
      </c>
      <c r="M13" t="s">
        <v>56</v>
      </c>
      <c r="N13">
        <v>17.841960369999999</v>
      </c>
      <c r="O13">
        <v>915172.53</v>
      </c>
      <c r="P13">
        <v>5289678.7699999996</v>
      </c>
      <c r="Q13">
        <v>4161870.95</v>
      </c>
    </row>
    <row r="14" spans="1:17" x14ac:dyDescent="0.3">
      <c r="A14" t="s">
        <v>27</v>
      </c>
      <c r="B14" t="s">
        <v>71</v>
      </c>
      <c r="C14" t="s">
        <v>20</v>
      </c>
      <c r="D14" t="s">
        <v>61</v>
      </c>
      <c r="E14" s="5">
        <f t="shared" si="0"/>
        <v>38353</v>
      </c>
      <c r="F14">
        <v>2005</v>
      </c>
      <c r="G14">
        <v>60.62</v>
      </c>
      <c r="H14">
        <v>18.100000000000001</v>
      </c>
      <c r="I14">
        <v>5670.0000762939499</v>
      </c>
      <c r="J14">
        <v>3.6746616400000001</v>
      </c>
      <c r="K14">
        <v>4.0644302368164098</v>
      </c>
      <c r="L14">
        <v>8.8959999084472692</v>
      </c>
      <c r="M14" t="s">
        <v>54</v>
      </c>
      <c r="N14">
        <v>15.68024181</v>
      </c>
      <c r="O14">
        <v>322491.07</v>
      </c>
      <c r="P14">
        <v>4130506.23</v>
      </c>
      <c r="Q14">
        <v>1764214.15</v>
      </c>
    </row>
    <row r="15" spans="1:17" x14ac:dyDescent="0.3">
      <c r="A15" t="s">
        <v>28</v>
      </c>
      <c r="B15" t="s">
        <v>72</v>
      </c>
      <c r="C15" t="s">
        <v>20</v>
      </c>
      <c r="D15" t="s">
        <v>59</v>
      </c>
      <c r="E15" s="5">
        <f t="shared" si="0"/>
        <v>38353</v>
      </c>
      <c r="F15">
        <v>2005</v>
      </c>
      <c r="G15">
        <v>44.502000000000002</v>
      </c>
      <c r="H15">
        <v>46.7</v>
      </c>
      <c r="I15">
        <v>449.99998807907099</v>
      </c>
      <c r="J15">
        <v>11.037729260000001</v>
      </c>
      <c r="K15">
        <v>2.7969799041747998</v>
      </c>
      <c r="L15">
        <v>3.5469999313354501</v>
      </c>
      <c r="M15" t="s">
        <v>56</v>
      </c>
      <c r="N15">
        <v>10.06994828</v>
      </c>
      <c r="O15">
        <v>253447.1</v>
      </c>
      <c r="P15">
        <v>4215134.3600000003</v>
      </c>
      <c r="Q15">
        <v>1081435.51</v>
      </c>
    </row>
    <row r="16" spans="1:17" x14ac:dyDescent="0.3">
      <c r="A16" t="s">
        <v>26</v>
      </c>
      <c r="B16" t="s">
        <v>73</v>
      </c>
      <c r="C16" t="s">
        <v>20</v>
      </c>
      <c r="D16" t="s">
        <v>61</v>
      </c>
      <c r="E16" s="5">
        <f t="shared" si="0"/>
        <v>38353</v>
      </c>
      <c r="F16">
        <v>2005</v>
      </c>
      <c r="G16">
        <v>64.659000000000006</v>
      </c>
      <c r="H16">
        <v>9</v>
      </c>
      <c r="I16">
        <v>79.999998211860699</v>
      </c>
      <c r="J16">
        <v>11.51630402</v>
      </c>
      <c r="K16">
        <v>4.8564500808715803</v>
      </c>
      <c r="L16">
        <v>16.469999313354499</v>
      </c>
      <c r="M16" t="s">
        <v>63</v>
      </c>
      <c r="N16">
        <v>18.072296489999999</v>
      </c>
      <c r="O16">
        <v>3303.5</v>
      </c>
      <c r="P16">
        <v>35858.699999999997</v>
      </c>
      <c r="Q16">
        <v>24876.27</v>
      </c>
    </row>
    <row r="17" spans="1:17" x14ac:dyDescent="0.3">
      <c r="A17" t="s">
        <v>74</v>
      </c>
      <c r="B17" t="s">
        <v>75</v>
      </c>
      <c r="C17" t="s">
        <v>20</v>
      </c>
      <c r="D17" t="s">
        <v>59</v>
      </c>
      <c r="E17" s="5">
        <f t="shared" si="0"/>
        <v>38353</v>
      </c>
      <c r="F17">
        <v>2005</v>
      </c>
      <c r="G17">
        <v>48.548999999999999</v>
      </c>
      <c r="H17">
        <v>37.799999999999997</v>
      </c>
      <c r="I17">
        <v>479.999989271164</v>
      </c>
      <c r="J17">
        <v>4.8411140399999999</v>
      </c>
      <c r="K17">
        <v>1.69476997852325</v>
      </c>
      <c r="L17">
        <v>0.87199997901916504</v>
      </c>
      <c r="M17" t="s">
        <v>76</v>
      </c>
      <c r="N17">
        <v>8.7127216220000001</v>
      </c>
      <c r="O17">
        <v>461705.69</v>
      </c>
      <c r="P17">
        <v>8179869</v>
      </c>
      <c r="Q17">
        <v>1633792.09</v>
      </c>
    </row>
    <row r="18" spans="1:17" x14ac:dyDescent="0.3">
      <c r="A18" t="s">
        <v>30</v>
      </c>
      <c r="B18" t="s">
        <v>77</v>
      </c>
      <c r="C18" t="s">
        <v>20</v>
      </c>
      <c r="D18" t="s">
        <v>59</v>
      </c>
      <c r="E18" s="5">
        <f t="shared" si="0"/>
        <v>38353</v>
      </c>
      <c r="F18">
        <v>2005</v>
      </c>
      <c r="G18">
        <v>54.601999999999997</v>
      </c>
      <c r="H18">
        <v>27.7</v>
      </c>
      <c r="I18">
        <v>1750</v>
      </c>
      <c r="J18">
        <v>3.3024344399999999</v>
      </c>
      <c r="K18">
        <v>3.15978002548218</v>
      </c>
      <c r="L18">
        <v>4.21799993515015</v>
      </c>
      <c r="M18" t="s">
        <v>76</v>
      </c>
      <c r="N18">
        <v>6.4454334329999998</v>
      </c>
      <c r="O18">
        <v>237367.78</v>
      </c>
      <c r="P18">
        <v>2931127.4</v>
      </c>
      <c r="Q18">
        <v>838432.01</v>
      </c>
    </row>
    <row r="19" spans="1:17" x14ac:dyDescent="0.3">
      <c r="A19" t="s">
        <v>29</v>
      </c>
      <c r="B19" t="s">
        <v>78</v>
      </c>
      <c r="C19" t="s">
        <v>20</v>
      </c>
      <c r="D19" t="s">
        <v>61</v>
      </c>
      <c r="E19" s="5">
        <f t="shared" si="0"/>
        <v>38353</v>
      </c>
      <c r="F19">
        <v>2005</v>
      </c>
      <c r="G19">
        <v>54.348999999999997</v>
      </c>
      <c r="H19">
        <v>28.4</v>
      </c>
      <c r="I19">
        <v>5659.9998474121103</v>
      </c>
      <c r="J19">
        <v>6.3228259099999997</v>
      </c>
      <c r="K19">
        <v>3.5462501049041699</v>
      </c>
      <c r="L19">
        <v>3.2260000705718999</v>
      </c>
      <c r="M19" t="s">
        <v>63</v>
      </c>
      <c r="N19">
        <v>10.88696901</v>
      </c>
      <c r="O19">
        <v>1180760.48</v>
      </c>
      <c r="P19">
        <v>21557410.370000001</v>
      </c>
      <c r="Q19">
        <v>6227868.6200000001</v>
      </c>
    </row>
    <row r="20" spans="1:17" x14ac:dyDescent="0.3">
      <c r="A20" t="s">
        <v>4</v>
      </c>
      <c r="B20" t="s">
        <v>52</v>
      </c>
      <c r="C20" t="s">
        <v>16</v>
      </c>
      <c r="D20" t="s">
        <v>53</v>
      </c>
      <c r="E20" s="5">
        <f t="shared" si="0"/>
        <v>38718</v>
      </c>
      <c r="F20">
        <v>2006</v>
      </c>
      <c r="G20">
        <v>75.423000000000002</v>
      </c>
      <c r="H20">
        <v>8.8000000000000007</v>
      </c>
      <c r="I20">
        <v>4010.00022888184</v>
      </c>
      <c r="J20">
        <v>6.0092773399999997</v>
      </c>
      <c r="K20">
        <v>3.1914598941803001</v>
      </c>
      <c r="L20">
        <v>15.6300001144409</v>
      </c>
      <c r="M20" t="s">
        <v>56</v>
      </c>
      <c r="N20">
        <v>42.391211730000002</v>
      </c>
      <c r="O20">
        <v>89182.27</v>
      </c>
      <c r="P20">
        <v>90917.84</v>
      </c>
      <c r="Q20">
        <v>557300.82999999996</v>
      </c>
    </row>
    <row r="21" spans="1:17" x14ac:dyDescent="0.3">
      <c r="A21" t="s">
        <v>5</v>
      </c>
      <c r="B21" t="s">
        <v>55</v>
      </c>
      <c r="C21" t="s">
        <v>16</v>
      </c>
      <c r="D21" t="s">
        <v>53</v>
      </c>
      <c r="E21" s="5">
        <f t="shared" si="0"/>
        <v>38718</v>
      </c>
      <c r="F21">
        <v>2006</v>
      </c>
      <c r="G21">
        <v>72.715999999999994</v>
      </c>
      <c r="H21">
        <v>9.3000000000000007</v>
      </c>
      <c r="I21">
        <v>4489.9997711181604</v>
      </c>
      <c r="J21">
        <v>5.8500709500000001</v>
      </c>
      <c r="K21">
        <v>2.71577000617981</v>
      </c>
      <c r="L21">
        <v>9.9969997406005895</v>
      </c>
      <c r="M21" t="s">
        <v>63</v>
      </c>
      <c r="N21">
        <v>48.09726053</v>
      </c>
      <c r="O21">
        <v>93356.64</v>
      </c>
      <c r="P21">
        <v>104959.6</v>
      </c>
      <c r="Q21">
        <v>802931.28</v>
      </c>
    </row>
    <row r="22" spans="1:17" x14ac:dyDescent="0.3">
      <c r="A22" t="s">
        <v>6</v>
      </c>
      <c r="B22" t="s">
        <v>57</v>
      </c>
      <c r="C22" t="s">
        <v>16</v>
      </c>
      <c r="D22" t="s">
        <v>53</v>
      </c>
      <c r="E22" s="5">
        <f t="shared" si="0"/>
        <v>38718</v>
      </c>
      <c r="F22">
        <v>2006</v>
      </c>
      <c r="G22">
        <v>69.259</v>
      </c>
      <c r="H22">
        <v>2.8</v>
      </c>
      <c r="I22">
        <v>30489.9997711182</v>
      </c>
      <c r="J22">
        <v>2.0667839099999998</v>
      </c>
      <c r="K22">
        <v>2.55552005767822</v>
      </c>
      <c r="L22">
        <v>6.6199998855590803</v>
      </c>
      <c r="M22" t="s">
        <v>56</v>
      </c>
      <c r="N22">
        <v>23.68295256</v>
      </c>
      <c r="O22">
        <v>235261.82</v>
      </c>
      <c r="P22">
        <v>797478.5</v>
      </c>
      <c r="Q22">
        <v>2025824.48</v>
      </c>
    </row>
    <row r="23" spans="1:17" x14ac:dyDescent="0.3">
      <c r="A23" t="s">
        <v>7</v>
      </c>
      <c r="B23" t="s">
        <v>79</v>
      </c>
      <c r="C23" t="s">
        <v>19</v>
      </c>
      <c r="D23" t="s">
        <v>61</v>
      </c>
      <c r="E23" s="5">
        <f t="shared" si="0"/>
        <v>38718</v>
      </c>
      <c r="F23">
        <v>2006</v>
      </c>
      <c r="G23">
        <v>68.212999999999994</v>
      </c>
      <c r="H23">
        <v>13.8</v>
      </c>
      <c r="I23">
        <v>35900.001525878899</v>
      </c>
      <c r="J23">
        <v>2.4843962199999998</v>
      </c>
      <c r="K23">
        <v>2.1312899589538601</v>
      </c>
      <c r="L23">
        <v>3.5899999141693102</v>
      </c>
      <c r="M23" t="s">
        <v>56</v>
      </c>
      <c r="N23">
        <v>24.147876369999999</v>
      </c>
      <c r="O23">
        <v>4365189.5</v>
      </c>
      <c r="P23">
        <v>22969983.93</v>
      </c>
      <c r="Q23">
        <v>22933766.579999998</v>
      </c>
    </row>
    <row r="24" spans="1:17" x14ac:dyDescent="0.3">
      <c r="A24" t="s">
        <v>21</v>
      </c>
      <c r="B24" t="s">
        <v>58</v>
      </c>
      <c r="C24" t="s">
        <v>20</v>
      </c>
      <c r="D24" t="s">
        <v>59</v>
      </c>
      <c r="E24" s="5">
        <f t="shared" si="0"/>
        <v>38718</v>
      </c>
      <c r="F24">
        <v>2006</v>
      </c>
      <c r="G24">
        <v>45.158000000000001</v>
      </c>
      <c r="H24">
        <v>37.700000000000003</v>
      </c>
      <c r="I24">
        <v>230.00000417232499</v>
      </c>
      <c r="J24">
        <v>4.44105434</v>
      </c>
      <c r="K24">
        <v>1.41506004333496</v>
      </c>
      <c r="L24">
        <v>5.6589999198913601</v>
      </c>
      <c r="M24" t="s">
        <v>56</v>
      </c>
      <c r="N24">
        <v>18.69190459</v>
      </c>
      <c r="O24">
        <v>341076.46</v>
      </c>
      <c r="P24">
        <v>3740319.7</v>
      </c>
      <c r="Q24">
        <v>827671.85</v>
      </c>
    </row>
    <row r="25" spans="1:17" x14ac:dyDescent="0.3">
      <c r="A25" t="s">
        <v>31</v>
      </c>
      <c r="B25" t="s">
        <v>60</v>
      </c>
      <c r="C25" t="s">
        <v>18</v>
      </c>
      <c r="D25" t="s">
        <v>61</v>
      </c>
      <c r="E25" s="5">
        <f t="shared" si="0"/>
        <v>38718</v>
      </c>
      <c r="F25">
        <v>2006</v>
      </c>
      <c r="G25">
        <v>58.34</v>
      </c>
      <c r="H25">
        <v>27.3</v>
      </c>
      <c r="I25">
        <v>430.00000715255698</v>
      </c>
      <c r="J25">
        <v>3.4842681899999999</v>
      </c>
      <c r="K25">
        <v>8.2787799835205096</v>
      </c>
      <c r="L25">
        <v>27.573999404907202</v>
      </c>
      <c r="M25" t="s">
        <v>56</v>
      </c>
      <c r="N25">
        <v>26.52365326</v>
      </c>
      <c r="O25">
        <v>36199.47</v>
      </c>
      <c r="P25">
        <v>310926.56</v>
      </c>
      <c r="Q25">
        <v>119405.57</v>
      </c>
    </row>
    <row r="26" spans="1:17" x14ac:dyDescent="0.3">
      <c r="A26" t="s">
        <v>22</v>
      </c>
      <c r="B26" t="s">
        <v>80</v>
      </c>
      <c r="C26" t="s">
        <v>20</v>
      </c>
      <c r="D26" t="s">
        <v>59</v>
      </c>
      <c r="E26" s="5">
        <f t="shared" si="0"/>
        <v>38718</v>
      </c>
      <c r="F26">
        <v>2006</v>
      </c>
      <c r="G26">
        <v>57.334000000000003</v>
      </c>
      <c r="H26">
        <v>35.6</v>
      </c>
      <c r="I26">
        <v>5400.0000953674298</v>
      </c>
      <c r="J26">
        <v>4.4575729400000004</v>
      </c>
      <c r="K26">
        <v>5.4909601211547896</v>
      </c>
      <c r="L26">
        <v>2.4700000286102299</v>
      </c>
      <c r="M26" t="s">
        <v>56</v>
      </c>
      <c r="N26">
        <v>3.5887006509999999</v>
      </c>
      <c r="O26">
        <v>3121041.71</v>
      </c>
      <c r="P26">
        <v>39064031.859999999</v>
      </c>
      <c r="Q26">
        <v>11025848.300000001</v>
      </c>
    </row>
    <row r="27" spans="1:17" x14ac:dyDescent="0.3">
      <c r="A27" t="s">
        <v>9</v>
      </c>
      <c r="B27" t="s">
        <v>62</v>
      </c>
      <c r="C27" t="s">
        <v>16</v>
      </c>
      <c r="D27" t="s">
        <v>53</v>
      </c>
      <c r="E27" s="5">
        <f t="shared" si="0"/>
        <v>38718</v>
      </c>
      <c r="F27">
        <v>2006</v>
      </c>
      <c r="G27">
        <v>70.635000000000005</v>
      </c>
      <c r="H27">
        <v>4</v>
      </c>
      <c r="I27">
        <v>4699.9998092651404</v>
      </c>
      <c r="J27">
        <v>7.6320805500000004</v>
      </c>
      <c r="K27">
        <v>3.0036499500274698</v>
      </c>
      <c r="L27">
        <v>13.569999694824199</v>
      </c>
      <c r="M27" t="s">
        <v>63</v>
      </c>
      <c r="N27">
        <v>43.718999949999997</v>
      </c>
      <c r="O27">
        <v>141156.10999999999</v>
      </c>
      <c r="P27">
        <v>151701.12</v>
      </c>
      <c r="Q27">
        <v>1374178.72</v>
      </c>
    </row>
    <row r="28" spans="1:17" x14ac:dyDescent="0.3">
      <c r="A28" t="s">
        <v>23</v>
      </c>
      <c r="B28" t="s">
        <v>64</v>
      </c>
      <c r="C28" t="s">
        <v>20</v>
      </c>
      <c r="D28" t="s">
        <v>61</v>
      </c>
      <c r="E28" s="5">
        <f t="shared" si="0"/>
        <v>38718</v>
      </c>
      <c r="F28">
        <v>2006</v>
      </c>
      <c r="G28">
        <v>59.234000000000002</v>
      </c>
      <c r="H28">
        <v>10.6</v>
      </c>
      <c r="I28">
        <v>8510.0002288818396</v>
      </c>
      <c r="J28">
        <v>3.6829619400000002</v>
      </c>
      <c r="K28">
        <v>5.2598299980163601</v>
      </c>
      <c r="L28">
        <v>4.6399998664856001</v>
      </c>
      <c r="M28" t="s">
        <v>81</v>
      </c>
      <c r="N28">
        <v>6.7474719710000004</v>
      </c>
      <c r="O28">
        <v>709612.71</v>
      </c>
      <c r="P28">
        <v>8693272.7400000002</v>
      </c>
      <c r="Q28">
        <v>3679326.51</v>
      </c>
    </row>
    <row r="29" spans="1:17" x14ac:dyDescent="0.3">
      <c r="A29" t="s">
        <v>32</v>
      </c>
      <c r="B29" t="s">
        <v>65</v>
      </c>
      <c r="C29" t="s">
        <v>19</v>
      </c>
      <c r="D29" t="s">
        <v>61</v>
      </c>
      <c r="E29" s="5">
        <f t="shared" si="0"/>
        <v>38718</v>
      </c>
      <c r="F29">
        <v>2006</v>
      </c>
      <c r="G29">
        <v>64.918000000000006</v>
      </c>
      <c r="H29">
        <v>19.600000000000001</v>
      </c>
      <c r="I29">
        <v>1215209.9609375</v>
      </c>
      <c r="J29">
        <v>3.6347780200000002</v>
      </c>
      <c r="K29">
        <v>3.1428499221801802</v>
      </c>
      <c r="L29">
        <v>5.6009998321533203</v>
      </c>
      <c r="M29" t="s">
        <v>63</v>
      </c>
      <c r="N29">
        <v>17.270388350000001</v>
      </c>
      <c r="O29">
        <v>53697866.829999998</v>
      </c>
      <c r="P29">
        <v>239547398.80000001</v>
      </c>
      <c r="Q29">
        <v>208840060.09999999</v>
      </c>
    </row>
    <row r="30" spans="1:17" x14ac:dyDescent="0.3">
      <c r="A30" t="s">
        <v>66</v>
      </c>
      <c r="B30" t="s">
        <v>67</v>
      </c>
      <c r="C30" t="s">
        <v>20</v>
      </c>
      <c r="D30" t="s">
        <v>61</v>
      </c>
      <c r="E30" s="5">
        <f t="shared" si="0"/>
        <v>38718</v>
      </c>
      <c r="F30">
        <v>2006</v>
      </c>
      <c r="G30">
        <v>42.594999999999999</v>
      </c>
      <c r="H30">
        <v>12.8</v>
      </c>
      <c r="I30">
        <v>430.00000715255698</v>
      </c>
      <c r="J30">
        <v>6.1196641899999999</v>
      </c>
      <c r="K30">
        <v>11.2712802886963</v>
      </c>
      <c r="L30">
        <v>30.461999893188501</v>
      </c>
      <c r="M30" t="s">
        <v>63</v>
      </c>
      <c r="N30">
        <v>20.271413580000001</v>
      </c>
      <c r="O30">
        <v>152329.04</v>
      </c>
      <c r="P30">
        <v>1552646.71</v>
      </c>
      <c r="Q30">
        <v>400777.15</v>
      </c>
    </row>
    <row r="31" spans="1:17" x14ac:dyDescent="0.3">
      <c r="A31" t="s">
        <v>24</v>
      </c>
      <c r="B31" t="s">
        <v>68</v>
      </c>
      <c r="C31" t="s">
        <v>20</v>
      </c>
      <c r="D31" t="s">
        <v>59</v>
      </c>
      <c r="E31" s="5">
        <f t="shared" si="0"/>
        <v>38718</v>
      </c>
      <c r="F31">
        <v>2006</v>
      </c>
      <c r="G31">
        <v>61.65</v>
      </c>
      <c r="H31">
        <v>31</v>
      </c>
      <c r="I31">
        <v>1639.99998569489</v>
      </c>
      <c r="J31">
        <v>5.0762758300000002</v>
      </c>
      <c r="K31">
        <v>2.8309700489044198</v>
      </c>
      <c r="L31">
        <v>2.9389998912811302</v>
      </c>
      <c r="M31" t="s">
        <v>63</v>
      </c>
      <c r="N31">
        <v>5.6278276930000004</v>
      </c>
      <c r="O31">
        <v>495679.31</v>
      </c>
      <c r="P31">
        <v>7230205.0199999996</v>
      </c>
      <c r="Q31">
        <v>2996523.06</v>
      </c>
    </row>
    <row r="32" spans="1:17" x14ac:dyDescent="0.3">
      <c r="A32" t="s">
        <v>12</v>
      </c>
      <c r="B32" t="s">
        <v>70</v>
      </c>
      <c r="C32" t="s">
        <v>19</v>
      </c>
      <c r="D32" t="s">
        <v>61</v>
      </c>
      <c r="E32" s="5">
        <f t="shared" si="0"/>
        <v>38718</v>
      </c>
      <c r="F32">
        <v>2006</v>
      </c>
      <c r="G32">
        <v>65.772999999999996</v>
      </c>
      <c r="H32">
        <v>15.9</v>
      </c>
      <c r="I32">
        <v>2619.9998855590802</v>
      </c>
      <c r="J32">
        <v>3.5361804999999999</v>
      </c>
      <c r="K32">
        <v>3.6053600311279301</v>
      </c>
      <c r="L32">
        <v>1.39300000667572</v>
      </c>
      <c r="M32" t="s">
        <v>54</v>
      </c>
      <c r="N32">
        <v>19.566140709999999</v>
      </c>
      <c r="O32">
        <v>866979.25</v>
      </c>
      <c r="P32">
        <v>5030978.7</v>
      </c>
      <c r="Q32">
        <v>4266131.01</v>
      </c>
    </row>
    <row r="33" spans="1:17" x14ac:dyDescent="0.3">
      <c r="A33" t="s">
        <v>27</v>
      </c>
      <c r="B33" t="s">
        <v>71</v>
      </c>
      <c r="C33" t="s">
        <v>20</v>
      </c>
      <c r="D33" t="s">
        <v>61</v>
      </c>
      <c r="E33" s="5">
        <f t="shared" si="0"/>
        <v>38718</v>
      </c>
      <c r="F33">
        <v>2006</v>
      </c>
      <c r="G33">
        <v>61.365000000000002</v>
      </c>
      <c r="H33">
        <v>16.5</v>
      </c>
      <c r="I33">
        <v>5570.0001716613797</v>
      </c>
      <c r="J33">
        <v>3.7633771899999999</v>
      </c>
      <c r="K33">
        <v>3.8213798999786399</v>
      </c>
      <c r="L33">
        <v>10.0299997329712</v>
      </c>
      <c r="M33" t="s">
        <v>54</v>
      </c>
      <c r="N33">
        <v>16.023639230000001</v>
      </c>
      <c r="O33">
        <v>326343.55</v>
      </c>
      <c r="P33">
        <v>4042473.64</v>
      </c>
      <c r="Q33">
        <v>1771215.51</v>
      </c>
    </row>
    <row r="34" spans="1:17" x14ac:dyDescent="0.3">
      <c r="A34" t="s">
        <v>26</v>
      </c>
      <c r="B34" t="s">
        <v>73</v>
      </c>
      <c r="C34" t="s">
        <v>20</v>
      </c>
      <c r="D34" t="s">
        <v>61</v>
      </c>
      <c r="E34" s="5">
        <f t="shared" si="0"/>
        <v>38718</v>
      </c>
      <c r="F34">
        <v>2006</v>
      </c>
      <c r="G34">
        <v>65.27</v>
      </c>
      <c r="H34">
        <v>9</v>
      </c>
      <c r="I34">
        <v>79.999998211860699</v>
      </c>
      <c r="J34">
        <v>8.2767076500000005</v>
      </c>
      <c r="K34">
        <v>4.27118015289307</v>
      </c>
      <c r="L34">
        <v>16.649999618530298</v>
      </c>
      <c r="M34" t="s">
        <v>63</v>
      </c>
      <c r="N34">
        <v>19.142454170000001</v>
      </c>
      <c r="O34">
        <v>3832.71</v>
      </c>
      <c r="P34">
        <v>31177.03</v>
      </c>
      <c r="Q34">
        <v>26649.59</v>
      </c>
    </row>
    <row r="35" spans="1:17" x14ac:dyDescent="0.3">
      <c r="A35" t="s">
        <v>30</v>
      </c>
      <c r="B35" t="s">
        <v>77</v>
      </c>
      <c r="C35" t="s">
        <v>20</v>
      </c>
      <c r="D35" t="s">
        <v>59</v>
      </c>
      <c r="E35" s="5">
        <f t="shared" si="0"/>
        <v>38718</v>
      </c>
      <c r="F35">
        <v>2006</v>
      </c>
      <c r="G35">
        <v>55.052</v>
      </c>
      <c r="H35">
        <v>27.2</v>
      </c>
      <c r="I35">
        <v>1570.0000524520899</v>
      </c>
      <c r="J35">
        <v>3.4460403899999998</v>
      </c>
      <c r="K35">
        <v>3.4350099563598602</v>
      </c>
      <c r="L35">
        <v>4.2300000190734899</v>
      </c>
      <c r="M35" t="s">
        <v>76</v>
      </c>
      <c r="N35">
        <v>6.6250220510000002</v>
      </c>
      <c r="O35">
        <v>205678.3</v>
      </c>
      <c r="P35">
        <v>2927679.32</v>
      </c>
      <c r="Q35">
        <v>858423.74</v>
      </c>
    </row>
    <row r="36" spans="1:17" x14ac:dyDescent="0.3">
      <c r="A36" t="s">
        <v>29</v>
      </c>
      <c r="B36" t="s">
        <v>78</v>
      </c>
      <c r="C36" t="s">
        <v>20</v>
      </c>
      <c r="D36" t="s">
        <v>61</v>
      </c>
      <c r="E36" s="5">
        <f t="shared" si="0"/>
        <v>38718</v>
      </c>
      <c r="F36">
        <v>2006</v>
      </c>
      <c r="G36">
        <v>55.119</v>
      </c>
      <c r="H36">
        <v>25.9</v>
      </c>
      <c r="I36">
        <v>6050.0001907348596</v>
      </c>
      <c r="J36">
        <v>7.5982799500000002</v>
      </c>
      <c r="K36">
        <v>3.00991988182068</v>
      </c>
      <c r="L36">
        <v>3.2999999523162802</v>
      </c>
      <c r="M36" t="s">
        <v>63</v>
      </c>
      <c r="N36">
        <v>12.14439713</v>
      </c>
      <c r="O36">
        <v>1236697.2</v>
      </c>
      <c r="P36">
        <v>20873666.829999998</v>
      </c>
      <c r="Q36">
        <v>6456703.8499999996</v>
      </c>
    </row>
    <row r="37" spans="1:17" x14ac:dyDescent="0.3">
      <c r="A37" t="s">
        <v>5</v>
      </c>
      <c r="B37" t="s">
        <v>55</v>
      </c>
      <c r="C37" t="s">
        <v>16</v>
      </c>
      <c r="D37" t="s">
        <v>53</v>
      </c>
      <c r="E37" s="5">
        <f t="shared" si="0"/>
        <v>39083</v>
      </c>
      <c r="F37">
        <v>2007</v>
      </c>
      <c r="G37">
        <v>72.814999999999998</v>
      </c>
      <c r="H37">
        <v>6.9</v>
      </c>
      <c r="I37">
        <v>5199.9998092651404</v>
      </c>
      <c r="J37">
        <v>5.4981455800000001</v>
      </c>
      <c r="K37">
        <v>3.0189399719238299</v>
      </c>
      <c r="L37">
        <v>9.8100004196166992</v>
      </c>
      <c r="M37" t="s">
        <v>63</v>
      </c>
      <c r="N37">
        <v>49.522079050000002</v>
      </c>
      <c r="O37">
        <v>92994.89</v>
      </c>
      <c r="P37">
        <v>98901.2</v>
      </c>
      <c r="Q37">
        <v>796328.81</v>
      </c>
    </row>
    <row r="38" spans="1:17" x14ac:dyDescent="0.3">
      <c r="A38" t="s">
        <v>6</v>
      </c>
      <c r="B38" t="s">
        <v>57</v>
      </c>
      <c r="C38" t="s">
        <v>16</v>
      </c>
      <c r="D38" t="s">
        <v>53</v>
      </c>
      <c r="E38" s="5">
        <f t="shared" si="0"/>
        <v>39083</v>
      </c>
      <c r="F38">
        <v>2007</v>
      </c>
      <c r="G38">
        <v>69.751999999999995</v>
      </c>
      <c r="H38">
        <v>2.5</v>
      </c>
      <c r="I38">
        <v>27629.999160766602</v>
      </c>
      <c r="J38">
        <v>1.99021435</v>
      </c>
      <c r="K38">
        <v>2.5492799282074001</v>
      </c>
      <c r="L38">
        <v>6.3299999237060502</v>
      </c>
      <c r="M38" t="s">
        <v>56</v>
      </c>
      <c r="N38">
        <v>24.186734449999999</v>
      </c>
      <c r="O38">
        <v>236193.72</v>
      </c>
      <c r="P38">
        <v>761497.67</v>
      </c>
      <c r="Q38">
        <v>2039977.68</v>
      </c>
    </row>
    <row r="39" spans="1:17" x14ac:dyDescent="0.3">
      <c r="A39" t="s">
        <v>7</v>
      </c>
      <c r="B39" t="s">
        <v>79</v>
      </c>
      <c r="C39" t="s">
        <v>19</v>
      </c>
      <c r="D39" t="s">
        <v>61</v>
      </c>
      <c r="E39" s="5">
        <f t="shared" si="0"/>
        <v>39083</v>
      </c>
      <c r="F39">
        <v>2007</v>
      </c>
      <c r="G39">
        <v>68.647999999999996</v>
      </c>
      <c r="H39">
        <v>13.9</v>
      </c>
      <c r="I39">
        <v>37990.001678466797</v>
      </c>
      <c r="J39">
        <v>2.5589778399999998</v>
      </c>
      <c r="K39">
        <v>2.20221996307373</v>
      </c>
      <c r="L39">
        <v>4.1269998550415004</v>
      </c>
      <c r="M39" t="s">
        <v>54</v>
      </c>
      <c r="N39">
        <v>25.221247170000002</v>
      </c>
      <c r="O39">
        <v>4686057.82</v>
      </c>
      <c r="P39">
        <v>21540422.899999999</v>
      </c>
      <c r="Q39">
        <v>23370455.66</v>
      </c>
    </row>
    <row r="40" spans="1:17" x14ac:dyDescent="0.3">
      <c r="A40" t="s">
        <v>21</v>
      </c>
      <c r="B40" t="s">
        <v>58</v>
      </c>
      <c r="C40" t="s">
        <v>20</v>
      </c>
      <c r="D40" t="s">
        <v>59</v>
      </c>
      <c r="E40" s="5">
        <f t="shared" si="0"/>
        <v>39083</v>
      </c>
      <c r="F40">
        <v>2007</v>
      </c>
      <c r="G40">
        <v>45.636000000000003</v>
      </c>
      <c r="H40">
        <v>35.700000000000003</v>
      </c>
      <c r="I40">
        <v>239.999994635582</v>
      </c>
      <c r="J40">
        <v>4.7185154000000002</v>
      </c>
      <c r="K40">
        <v>1.31332004070282</v>
      </c>
      <c r="L40">
        <v>5.6059999465942401</v>
      </c>
      <c r="M40" t="s">
        <v>56</v>
      </c>
      <c r="N40">
        <v>18.29993339</v>
      </c>
      <c r="O40">
        <v>349759.6</v>
      </c>
      <c r="P40">
        <v>3726123.03</v>
      </c>
      <c r="Q40">
        <v>843435.05</v>
      </c>
    </row>
    <row r="41" spans="1:17" x14ac:dyDescent="0.3">
      <c r="A41" t="s">
        <v>31</v>
      </c>
      <c r="B41" t="s">
        <v>60</v>
      </c>
      <c r="C41" t="s">
        <v>18</v>
      </c>
      <c r="D41" t="s">
        <v>61</v>
      </c>
      <c r="E41" s="5">
        <f t="shared" si="0"/>
        <v>39083</v>
      </c>
      <c r="F41">
        <v>2007</v>
      </c>
      <c r="G41">
        <v>58.719000000000001</v>
      </c>
      <c r="H41">
        <v>25.1</v>
      </c>
      <c r="I41">
        <v>469.99999880790699</v>
      </c>
      <c r="J41">
        <v>3.4149863699999998</v>
      </c>
      <c r="K41">
        <v>8.40625</v>
      </c>
      <c r="L41">
        <v>27.4440002441406</v>
      </c>
      <c r="M41" t="s">
        <v>56</v>
      </c>
      <c r="N41">
        <v>27.339667210000002</v>
      </c>
      <c r="O41">
        <v>30021.41</v>
      </c>
      <c r="P41">
        <v>308370.02</v>
      </c>
      <c r="Q41">
        <v>124591.38</v>
      </c>
    </row>
    <row r="42" spans="1:17" x14ac:dyDescent="0.3">
      <c r="A42" t="s">
        <v>22</v>
      </c>
      <c r="B42" t="s">
        <v>80</v>
      </c>
      <c r="C42" t="s">
        <v>20</v>
      </c>
      <c r="D42" t="s">
        <v>59</v>
      </c>
      <c r="E42" s="5">
        <f t="shared" si="0"/>
        <v>39083</v>
      </c>
      <c r="F42">
        <v>2007</v>
      </c>
      <c r="G42">
        <v>58.466999999999999</v>
      </c>
      <c r="H42">
        <v>35</v>
      </c>
      <c r="I42">
        <v>5960.0000381469699</v>
      </c>
      <c r="J42">
        <v>5.0012836500000004</v>
      </c>
      <c r="K42">
        <v>5.4511299133300799</v>
      </c>
      <c r="L42">
        <v>2.4349999427795401</v>
      </c>
      <c r="M42" t="s">
        <v>56</v>
      </c>
      <c r="N42">
        <v>3.8185939690000001</v>
      </c>
      <c r="O42">
        <v>3082036.09</v>
      </c>
      <c r="P42">
        <v>36988493.049999997</v>
      </c>
      <c r="Q42">
        <v>11102211.98</v>
      </c>
    </row>
    <row r="43" spans="1:17" x14ac:dyDescent="0.3">
      <c r="A43" t="s">
        <v>9</v>
      </c>
      <c r="B43" t="s">
        <v>62</v>
      </c>
      <c r="C43" t="s">
        <v>16</v>
      </c>
      <c r="D43" t="s">
        <v>53</v>
      </c>
      <c r="E43" s="5">
        <f t="shared" si="0"/>
        <v>39083</v>
      </c>
      <c r="F43">
        <v>2007</v>
      </c>
      <c r="G43">
        <v>70.765000000000001</v>
      </c>
      <c r="H43">
        <v>4</v>
      </c>
      <c r="I43">
        <v>5630.0001144409198</v>
      </c>
      <c r="J43">
        <v>7.4351777999999999</v>
      </c>
      <c r="K43">
        <v>2.6968700885772701</v>
      </c>
      <c r="L43">
        <v>13.2799997329712</v>
      </c>
      <c r="M43" t="s">
        <v>54</v>
      </c>
      <c r="N43">
        <v>43.006802700000001</v>
      </c>
      <c r="O43">
        <v>141254.59</v>
      </c>
      <c r="P43">
        <v>145433.15</v>
      </c>
      <c r="Q43">
        <v>1340657.21</v>
      </c>
    </row>
    <row r="44" spans="1:17" x14ac:dyDescent="0.3">
      <c r="A44" t="s">
        <v>23</v>
      </c>
      <c r="B44" t="s">
        <v>64</v>
      </c>
      <c r="C44" t="s">
        <v>20</v>
      </c>
      <c r="D44" t="s">
        <v>61</v>
      </c>
      <c r="E44" s="5">
        <f t="shared" si="0"/>
        <v>39083</v>
      </c>
      <c r="F44">
        <v>2007</v>
      </c>
      <c r="G44">
        <v>59.741</v>
      </c>
      <c r="H44">
        <v>9.4</v>
      </c>
      <c r="I44">
        <v>9119.9998855590802</v>
      </c>
      <c r="J44">
        <v>3.8136858899999999</v>
      </c>
      <c r="K44">
        <v>5.5198698043823198</v>
      </c>
      <c r="L44">
        <v>4.84299993515015</v>
      </c>
      <c r="M44" t="s">
        <v>81</v>
      </c>
      <c r="N44">
        <v>7.2185456280000002</v>
      </c>
      <c r="O44">
        <v>730461.34</v>
      </c>
      <c r="P44">
        <v>8672212.3100000005</v>
      </c>
      <c r="Q44">
        <v>3776452.79</v>
      </c>
    </row>
    <row r="45" spans="1:17" x14ac:dyDescent="0.3">
      <c r="A45" t="s">
        <v>24</v>
      </c>
      <c r="B45" t="s">
        <v>68</v>
      </c>
      <c r="C45" t="s">
        <v>20</v>
      </c>
      <c r="D45" t="s">
        <v>59</v>
      </c>
      <c r="E45" s="5">
        <f t="shared" si="0"/>
        <v>39083</v>
      </c>
      <c r="F45">
        <v>2007</v>
      </c>
      <c r="G45">
        <v>62.079000000000001</v>
      </c>
      <c r="H45">
        <v>30.5</v>
      </c>
      <c r="I45">
        <v>1720.0000286102299</v>
      </c>
      <c r="J45">
        <v>4.4942874899999996</v>
      </c>
      <c r="K45">
        <v>2.9027400016784699</v>
      </c>
      <c r="L45">
        <v>3.2609999179840101</v>
      </c>
      <c r="M45" t="s">
        <v>63</v>
      </c>
      <c r="N45">
        <v>5.985452403</v>
      </c>
      <c r="O45">
        <v>507386.21</v>
      </c>
      <c r="P45">
        <v>7184699.4299999997</v>
      </c>
      <c r="Q45">
        <v>3051358.23</v>
      </c>
    </row>
    <row r="46" spans="1:17" x14ac:dyDescent="0.3">
      <c r="A46" t="s">
        <v>11</v>
      </c>
      <c r="B46" t="s">
        <v>82</v>
      </c>
      <c r="C46" t="s">
        <v>15</v>
      </c>
      <c r="D46" t="s">
        <v>61</v>
      </c>
      <c r="E46" s="5">
        <f t="shared" si="0"/>
        <v>39083</v>
      </c>
      <c r="F46">
        <v>2007</v>
      </c>
      <c r="G46">
        <v>65.984999999999999</v>
      </c>
      <c r="H46">
        <v>25.2</v>
      </c>
      <c r="I46">
        <v>13020.000457763699</v>
      </c>
      <c r="J46">
        <v>4.0752248800000004</v>
      </c>
      <c r="K46">
        <v>4.6901302337646502</v>
      </c>
      <c r="L46">
        <v>7.1999998092651403</v>
      </c>
      <c r="M46" t="s">
        <v>54</v>
      </c>
      <c r="N46">
        <v>38.536834939999999</v>
      </c>
      <c r="O46">
        <v>173040.83</v>
      </c>
      <c r="P46">
        <v>236644</v>
      </c>
      <c r="Q46">
        <v>647016.4</v>
      </c>
    </row>
    <row r="47" spans="1:17" x14ac:dyDescent="0.3">
      <c r="A47" t="s">
        <v>12</v>
      </c>
      <c r="B47" t="s">
        <v>70</v>
      </c>
      <c r="C47" t="s">
        <v>19</v>
      </c>
      <c r="D47" t="s">
        <v>61</v>
      </c>
      <c r="E47" s="5">
        <f t="shared" si="0"/>
        <v>39083</v>
      </c>
      <c r="F47">
        <v>2007</v>
      </c>
      <c r="G47">
        <v>66.260000000000005</v>
      </c>
      <c r="H47">
        <v>14.9</v>
      </c>
      <c r="I47">
        <v>2690.0000572204599</v>
      </c>
      <c r="J47">
        <v>3.6648433200000001</v>
      </c>
      <c r="K47">
        <v>3.5172100067138699</v>
      </c>
      <c r="L47">
        <v>1.3309999704361</v>
      </c>
      <c r="M47" t="s">
        <v>54</v>
      </c>
      <c r="N47">
        <v>21.330670040000001</v>
      </c>
      <c r="O47">
        <v>837697.92</v>
      </c>
      <c r="P47">
        <v>4816573.83</v>
      </c>
      <c r="Q47">
        <v>4364858.7699999996</v>
      </c>
    </row>
    <row r="48" spans="1:17" x14ac:dyDescent="0.3">
      <c r="A48" t="s">
        <v>28</v>
      </c>
      <c r="B48" t="s">
        <v>72</v>
      </c>
      <c r="C48" t="s">
        <v>20</v>
      </c>
      <c r="D48" t="s">
        <v>59</v>
      </c>
      <c r="E48" s="5">
        <f t="shared" si="0"/>
        <v>39083</v>
      </c>
      <c r="F48">
        <v>2007</v>
      </c>
      <c r="G48">
        <v>46.52</v>
      </c>
      <c r="H48">
        <v>41.7</v>
      </c>
      <c r="I48">
        <v>500</v>
      </c>
      <c r="J48">
        <v>10.035161970000001</v>
      </c>
      <c r="K48">
        <v>2.5585100650787398</v>
      </c>
      <c r="L48">
        <v>3.7880001068115199</v>
      </c>
      <c r="M48" t="s">
        <v>56</v>
      </c>
      <c r="N48">
        <v>10.595213680000001</v>
      </c>
      <c r="O48">
        <v>272984.03000000003</v>
      </c>
      <c r="P48">
        <v>4128718.05</v>
      </c>
      <c r="Q48">
        <v>1126324.99</v>
      </c>
    </row>
    <row r="49" spans="1:17" x14ac:dyDescent="0.3">
      <c r="A49" t="s">
        <v>26</v>
      </c>
      <c r="B49" t="s">
        <v>73</v>
      </c>
      <c r="C49" t="s">
        <v>20</v>
      </c>
      <c r="D49" t="s">
        <v>61</v>
      </c>
      <c r="E49" s="5">
        <f t="shared" si="0"/>
        <v>39083</v>
      </c>
      <c r="F49">
        <v>2007</v>
      </c>
      <c r="G49">
        <v>65.853999999999999</v>
      </c>
      <c r="H49">
        <v>9.8000000000000007</v>
      </c>
      <c r="I49">
        <v>79.999998211860699</v>
      </c>
      <c r="J49">
        <v>8.1677617999999992</v>
      </c>
      <c r="K49">
        <v>6.2868299484252903</v>
      </c>
      <c r="L49">
        <v>16.2339992523193</v>
      </c>
      <c r="M49" t="s">
        <v>63</v>
      </c>
      <c r="N49">
        <v>20.220754379999999</v>
      </c>
      <c r="O49">
        <v>4698.1400000000003</v>
      </c>
      <c r="P49">
        <v>28289.040000000001</v>
      </c>
      <c r="Q49">
        <v>27384.36</v>
      </c>
    </row>
    <row r="50" spans="1:17" x14ac:dyDescent="0.3">
      <c r="A50" t="s">
        <v>30</v>
      </c>
      <c r="B50" t="s">
        <v>77</v>
      </c>
      <c r="C50" t="s">
        <v>20</v>
      </c>
      <c r="D50" t="s">
        <v>59</v>
      </c>
      <c r="E50" s="5">
        <f t="shared" si="0"/>
        <v>39083</v>
      </c>
      <c r="F50">
        <v>2007</v>
      </c>
      <c r="G50">
        <v>55.581000000000003</v>
      </c>
      <c r="H50">
        <v>26.2</v>
      </c>
      <c r="I50">
        <v>1500</v>
      </c>
      <c r="J50">
        <v>3.8666465300000001</v>
      </c>
      <c r="K50">
        <v>3.5106298923492401</v>
      </c>
      <c r="L50">
        <v>3.80299997329712</v>
      </c>
      <c r="M50" t="s">
        <v>76</v>
      </c>
      <c r="N50">
        <v>6.8065243649999996</v>
      </c>
      <c r="O50">
        <v>214250.79</v>
      </c>
      <c r="P50">
        <v>2938443.97</v>
      </c>
      <c r="Q50">
        <v>880980.18</v>
      </c>
    </row>
    <row r="51" spans="1:17" x14ac:dyDescent="0.3">
      <c r="A51" t="s">
        <v>29</v>
      </c>
      <c r="B51" t="s">
        <v>78</v>
      </c>
      <c r="C51" t="s">
        <v>20</v>
      </c>
      <c r="D51" t="s">
        <v>61</v>
      </c>
      <c r="E51" s="5">
        <f t="shared" si="0"/>
        <v>39083</v>
      </c>
      <c r="F51">
        <v>2007</v>
      </c>
      <c r="G51">
        <v>55.926000000000002</v>
      </c>
      <c r="H51">
        <v>25.7</v>
      </c>
      <c r="I51">
        <v>5909.9998474121103</v>
      </c>
      <c r="J51">
        <v>6.8842783000000001</v>
      </c>
      <c r="K51">
        <v>4.0334200859069798</v>
      </c>
      <c r="L51">
        <v>3.0299999713897701</v>
      </c>
      <c r="M51" t="s">
        <v>63</v>
      </c>
      <c r="N51">
        <v>13.405931430000001</v>
      </c>
      <c r="O51">
        <v>1258273.8700000001</v>
      </c>
      <c r="P51">
        <v>19961897.5</v>
      </c>
      <c r="Q51">
        <v>6654043.8300000001</v>
      </c>
    </row>
    <row r="52" spans="1:17" x14ac:dyDescent="0.3">
      <c r="A52" t="s">
        <v>5</v>
      </c>
      <c r="B52" t="s">
        <v>55</v>
      </c>
      <c r="C52" t="s">
        <v>16</v>
      </c>
      <c r="D52" t="s">
        <v>53</v>
      </c>
      <c r="E52" s="5">
        <f t="shared" si="0"/>
        <v>39448</v>
      </c>
      <c r="F52">
        <v>2008</v>
      </c>
      <c r="G52">
        <v>72.945999999999998</v>
      </c>
      <c r="H52">
        <v>5.6</v>
      </c>
      <c r="I52">
        <v>5690.0000572204599</v>
      </c>
      <c r="J52">
        <v>6.6397624000000004</v>
      </c>
      <c r="K52">
        <v>3.17272996902466</v>
      </c>
      <c r="L52">
        <v>14.3929996490479</v>
      </c>
      <c r="M52" t="s">
        <v>54</v>
      </c>
      <c r="N52">
        <v>50.96552269</v>
      </c>
      <c r="O52">
        <v>91654.04</v>
      </c>
      <c r="P52">
        <v>97242.98</v>
      </c>
      <c r="Q52">
        <v>803568.89</v>
      </c>
    </row>
    <row r="53" spans="1:17" x14ac:dyDescent="0.3">
      <c r="A53" t="s">
        <v>6</v>
      </c>
      <c r="B53" t="s">
        <v>57</v>
      </c>
      <c r="C53" t="s">
        <v>16</v>
      </c>
      <c r="D53" t="s">
        <v>53</v>
      </c>
      <c r="E53" s="5">
        <f t="shared" si="0"/>
        <v>39448</v>
      </c>
      <c r="F53">
        <v>2008</v>
      </c>
      <c r="G53">
        <v>70.200999999999993</v>
      </c>
      <c r="H53">
        <v>2.5</v>
      </c>
      <c r="I53">
        <v>30450.0007629395</v>
      </c>
      <c r="J53">
        <v>1.93880892</v>
      </c>
      <c r="K53">
        <v>2.44092988967896</v>
      </c>
      <c r="L53">
        <v>5.8600001335143999</v>
      </c>
      <c r="M53" t="s">
        <v>56</v>
      </c>
      <c r="N53">
        <v>24.39743142</v>
      </c>
      <c r="O53">
        <v>237996.51</v>
      </c>
      <c r="P53">
        <v>740106.62</v>
      </c>
      <c r="Q53">
        <v>2083159.54</v>
      </c>
    </row>
    <row r="54" spans="1:17" x14ac:dyDescent="0.3">
      <c r="A54" t="s">
        <v>7</v>
      </c>
      <c r="B54" t="s">
        <v>79</v>
      </c>
      <c r="C54" t="s">
        <v>19</v>
      </c>
      <c r="D54" t="s">
        <v>61</v>
      </c>
      <c r="E54" s="5">
        <f t="shared" si="0"/>
        <v>39448</v>
      </c>
      <c r="F54">
        <v>2008</v>
      </c>
      <c r="G54">
        <v>69.072000000000003</v>
      </c>
      <c r="H54">
        <v>13.6</v>
      </c>
      <c r="I54">
        <v>41580.001831054702</v>
      </c>
      <c r="J54">
        <v>2.4884834300000001</v>
      </c>
      <c r="K54">
        <v>2.0545699596404998</v>
      </c>
      <c r="L54">
        <v>4.5669999122619602</v>
      </c>
      <c r="M54" t="s">
        <v>54</v>
      </c>
      <c r="N54">
        <v>26.29209359</v>
      </c>
      <c r="O54">
        <v>4219100.6100000003</v>
      </c>
      <c r="P54">
        <v>20461453.34</v>
      </c>
      <c r="Q54">
        <v>23566513.579999998</v>
      </c>
    </row>
    <row r="55" spans="1:17" x14ac:dyDescent="0.3">
      <c r="A55" t="s">
        <v>21</v>
      </c>
      <c r="B55" t="s">
        <v>58</v>
      </c>
      <c r="C55" t="s">
        <v>20</v>
      </c>
      <c r="D55" t="s">
        <v>59</v>
      </c>
      <c r="E55" s="5">
        <f t="shared" si="0"/>
        <v>39448</v>
      </c>
      <c r="F55">
        <v>2008</v>
      </c>
      <c r="G55">
        <v>46.161000000000001</v>
      </c>
      <c r="H55">
        <v>33.299999999999997</v>
      </c>
      <c r="I55">
        <v>170.000001788139</v>
      </c>
      <c r="J55">
        <v>4.0869908300000004</v>
      </c>
      <c r="K55">
        <v>1.2900099754333501</v>
      </c>
      <c r="L55">
        <v>5.4699997901916504</v>
      </c>
      <c r="M55" t="s">
        <v>56</v>
      </c>
      <c r="N55">
        <v>17.913492519999998</v>
      </c>
      <c r="O55">
        <v>341555.83</v>
      </c>
      <c r="P55">
        <v>3686621.06</v>
      </c>
      <c r="Q55">
        <v>856832.82</v>
      </c>
    </row>
    <row r="56" spans="1:17" x14ac:dyDescent="0.3">
      <c r="A56" t="s">
        <v>22</v>
      </c>
      <c r="B56" t="s">
        <v>80</v>
      </c>
      <c r="C56" t="s">
        <v>20</v>
      </c>
      <c r="D56" t="s">
        <v>59</v>
      </c>
      <c r="E56" s="5">
        <f t="shared" si="0"/>
        <v>39448</v>
      </c>
      <c r="F56">
        <v>2008</v>
      </c>
      <c r="G56">
        <v>59.581000000000003</v>
      </c>
      <c r="H56">
        <v>33.5</v>
      </c>
      <c r="I56">
        <v>6489.9997711181604</v>
      </c>
      <c r="J56">
        <v>4.2806391699999997</v>
      </c>
      <c r="K56">
        <v>5.4081997871398899</v>
      </c>
      <c r="L56">
        <v>2.4059998989105198</v>
      </c>
      <c r="M56" t="s">
        <v>56</v>
      </c>
      <c r="N56">
        <v>4.0639693020000003</v>
      </c>
      <c r="O56">
        <v>3020285.75</v>
      </c>
      <c r="P56">
        <v>35060164.259999998</v>
      </c>
      <c r="Q56">
        <v>11164764.800000001</v>
      </c>
    </row>
    <row r="57" spans="1:17" x14ac:dyDescent="0.3">
      <c r="A57" t="s">
        <v>9</v>
      </c>
      <c r="B57" t="s">
        <v>62</v>
      </c>
      <c r="C57" t="s">
        <v>16</v>
      </c>
      <c r="D57" t="s">
        <v>53</v>
      </c>
      <c r="E57" s="5">
        <f t="shared" si="0"/>
        <v>39448</v>
      </c>
      <c r="F57">
        <v>2008</v>
      </c>
      <c r="G57">
        <v>70.945999999999998</v>
      </c>
      <c r="H57">
        <v>3.6</v>
      </c>
      <c r="I57">
        <v>4840.0001525878897</v>
      </c>
      <c r="J57">
        <v>8.4446716300000002</v>
      </c>
      <c r="K57">
        <v>2.9195499420165998</v>
      </c>
      <c r="L57">
        <v>17.870000839233398</v>
      </c>
      <c r="M57" t="s">
        <v>54</v>
      </c>
      <c r="N57">
        <v>42.29247153</v>
      </c>
      <c r="O57">
        <v>182084.82</v>
      </c>
      <c r="P57">
        <v>142683.38</v>
      </c>
      <c r="Q57">
        <v>1338675.08</v>
      </c>
    </row>
    <row r="58" spans="1:17" x14ac:dyDescent="0.3">
      <c r="A58" t="s">
        <v>23</v>
      </c>
      <c r="B58" t="s">
        <v>64</v>
      </c>
      <c r="C58" t="s">
        <v>20</v>
      </c>
      <c r="D58" t="s">
        <v>61</v>
      </c>
      <c r="E58" s="5">
        <f t="shared" si="0"/>
        <v>39448</v>
      </c>
      <c r="F58">
        <v>2008</v>
      </c>
      <c r="G58">
        <v>60.216000000000001</v>
      </c>
      <c r="H58">
        <v>8.1999999999999993</v>
      </c>
      <c r="I58">
        <v>8659.9998474121094</v>
      </c>
      <c r="J58">
        <v>3.8991744499999998</v>
      </c>
      <c r="K58">
        <v>5.7579598426818803</v>
      </c>
      <c r="L58">
        <v>4.9920001029968297</v>
      </c>
      <c r="M58" t="s">
        <v>81</v>
      </c>
      <c r="N58">
        <v>7.6909972099999999</v>
      </c>
      <c r="O58">
        <v>722477.84</v>
      </c>
      <c r="P58">
        <v>8607128.9700000007</v>
      </c>
      <c r="Q58">
        <v>3835660.3</v>
      </c>
    </row>
    <row r="59" spans="1:17" x14ac:dyDescent="0.3">
      <c r="A59" t="s">
        <v>66</v>
      </c>
      <c r="B59" t="s">
        <v>67</v>
      </c>
      <c r="C59" t="s">
        <v>20</v>
      </c>
      <c r="D59" t="s">
        <v>61</v>
      </c>
      <c r="E59" s="5">
        <f t="shared" si="0"/>
        <v>39448</v>
      </c>
      <c r="F59">
        <v>2008</v>
      </c>
      <c r="G59">
        <v>43.384</v>
      </c>
      <c r="H59">
        <v>12.3</v>
      </c>
      <c r="I59">
        <v>460.00000834464998</v>
      </c>
      <c r="J59">
        <v>7.7015414199999999</v>
      </c>
      <c r="K59">
        <v>12.329520225524901</v>
      </c>
      <c r="L59">
        <v>28.7600002288818</v>
      </c>
      <c r="M59" t="s">
        <v>63</v>
      </c>
      <c r="N59">
        <v>24.468118310000001</v>
      </c>
      <c r="O59">
        <v>158249.14000000001</v>
      </c>
      <c r="P59">
        <v>1360606.55</v>
      </c>
      <c r="Q59">
        <v>409964.07</v>
      </c>
    </row>
    <row r="60" spans="1:17" x14ac:dyDescent="0.3">
      <c r="A60" t="s">
        <v>24</v>
      </c>
      <c r="B60" t="s">
        <v>68</v>
      </c>
      <c r="C60" t="s">
        <v>20</v>
      </c>
      <c r="D60" t="s">
        <v>59</v>
      </c>
      <c r="E60" s="5">
        <f t="shared" si="0"/>
        <v>39448</v>
      </c>
      <c r="F60">
        <v>2008</v>
      </c>
      <c r="G60">
        <v>62.509</v>
      </c>
      <c r="H60">
        <v>30.4</v>
      </c>
      <c r="I60">
        <v>1779.9999713897701</v>
      </c>
      <c r="J60">
        <v>4.1061687500000001</v>
      </c>
      <c r="K60">
        <v>2.5543398857116699</v>
      </c>
      <c r="L60">
        <v>3.5820000171661399</v>
      </c>
      <c r="M60" t="s">
        <v>63</v>
      </c>
      <c r="N60">
        <v>6.3404025129999999</v>
      </c>
      <c r="O60">
        <v>524290.78</v>
      </c>
      <c r="P60">
        <v>7115964.6399999997</v>
      </c>
      <c r="Q60">
        <v>3151125.83</v>
      </c>
    </row>
    <row r="61" spans="1:17" x14ac:dyDescent="0.3">
      <c r="A61" t="s">
        <v>25</v>
      </c>
      <c r="B61" t="s">
        <v>69</v>
      </c>
      <c r="C61" t="s">
        <v>20</v>
      </c>
      <c r="D61" t="s">
        <v>59</v>
      </c>
      <c r="E61" s="5">
        <f t="shared" si="0"/>
        <v>39448</v>
      </c>
      <c r="F61">
        <v>2008</v>
      </c>
      <c r="G61">
        <v>54.192999999999998</v>
      </c>
      <c r="H61">
        <v>9.4</v>
      </c>
      <c r="I61">
        <v>2079.9999237060501</v>
      </c>
      <c r="J61">
        <v>5.04372358</v>
      </c>
      <c r="K61">
        <v>3.4035599231720002</v>
      </c>
      <c r="L61">
        <v>10.494000434875501</v>
      </c>
      <c r="M61" t="s">
        <v>63</v>
      </c>
      <c r="N61">
        <v>11.46107647</v>
      </c>
      <c r="O61">
        <v>608940.37</v>
      </c>
      <c r="P61">
        <v>10183254.810000001</v>
      </c>
      <c r="Q61">
        <v>2476700.94</v>
      </c>
    </row>
    <row r="62" spans="1:17" x14ac:dyDescent="0.3">
      <c r="A62" t="s">
        <v>12</v>
      </c>
      <c r="B62" t="s">
        <v>70</v>
      </c>
      <c r="C62" t="s">
        <v>19</v>
      </c>
      <c r="D62" t="s">
        <v>61</v>
      </c>
      <c r="E62" s="5">
        <f t="shared" si="0"/>
        <v>39448</v>
      </c>
      <c r="F62">
        <v>2008</v>
      </c>
      <c r="G62">
        <v>66.727000000000004</v>
      </c>
      <c r="H62">
        <v>13</v>
      </c>
      <c r="I62">
        <v>2990.00000953674</v>
      </c>
      <c r="J62">
        <v>3.8091130299999998</v>
      </c>
      <c r="K62">
        <v>3.8051700592040998</v>
      </c>
      <c r="L62">
        <v>1.33000004291534</v>
      </c>
      <c r="M62" t="s">
        <v>54</v>
      </c>
      <c r="N62">
        <v>23.1351786</v>
      </c>
      <c r="O62">
        <v>840658.08</v>
      </c>
      <c r="P62">
        <v>4585507.04</v>
      </c>
      <c r="Q62">
        <v>4465785.6900000004</v>
      </c>
    </row>
    <row r="63" spans="1:17" x14ac:dyDescent="0.3">
      <c r="A63" t="s">
        <v>27</v>
      </c>
      <c r="B63" t="s">
        <v>71</v>
      </c>
      <c r="C63" t="s">
        <v>20</v>
      </c>
      <c r="D63" t="s">
        <v>61</v>
      </c>
      <c r="E63" s="5">
        <f t="shared" si="0"/>
        <v>39448</v>
      </c>
      <c r="F63">
        <v>2008</v>
      </c>
      <c r="G63">
        <v>62.88</v>
      </c>
      <c r="H63">
        <v>11.9</v>
      </c>
      <c r="I63">
        <v>6440.0000572204599</v>
      </c>
      <c r="J63">
        <v>3.5068757499999998</v>
      </c>
      <c r="K63">
        <v>4.0256800651550302</v>
      </c>
      <c r="L63">
        <v>10.1330003738403</v>
      </c>
      <c r="M63" t="s">
        <v>54</v>
      </c>
      <c r="N63">
        <v>16.703536400000001</v>
      </c>
      <c r="O63">
        <v>321085.94</v>
      </c>
      <c r="P63">
        <v>3768005.67</v>
      </c>
      <c r="Q63">
        <v>1841615.71</v>
      </c>
    </row>
    <row r="64" spans="1:17" x14ac:dyDescent="0.3">
      <c r="A64" t="s">
        <v>28</v>
      </c>
      <c r="B64" t="s">
        <v>72</v>
      </c>
      <c r="C64" t="s">
        <v>20</v>
      </c>
      <c r="D64" t="s">
        <v>59</v>
      </c>
      <c r="E64" s="5">
        <f t="shared" si="0"/>
        <v>39448</v>
      </c>
      <c r="F64">
        <v>2008</v>
      </c>
      <c r="G64">
        <v>47.508000000000003</v>
      </c>
      <c r="H64">
        <v>40.299999999999997</v>
      </c>
      <c r="I64">
        <v>519.99998092651401</v>
      </c>
      <c r="J64">
        <v>9.8738708499999994</v>
      </c>
      <c r="K64">
        <v>2.4131700992584202</v>
      </c>
      <c r="L64">
        <v>3.9189999103546098</v>
      </c>
      <c r="M64" t="s">
        <v>56</v>
      </c>
      <c r="N64">
        <v>10.85889068</v>
      </c>
      <c r="O64">
        <v>257011.4</v>
      </c>
      <c r="P64">
        <v>4095875.88</v>
      </c>
      <c r="Q64">
        <v>1126564.54</v>
      </c>
    </row>
    <row r="65" spans="1:17" x14ac:dyDescent="0.3">
      <c r="A65" t="s">
        <v>26</v>
      </c>
      <c r="B65" t="s">
        <v>73</v>
      </c>
      <c r="C65" t="s">
        <v>20</v>
      </c>
      <c r="D65" t="s">
        <v>61</v>
      </c>
      <c r="E65" s="5">
        <f t="shared" si="0"/>
        <v>39448</v>
      </c>
      <c r="F65">
        <v>2008</v>
      </c>
      <c r="G65">
        <v>66.412000000000006</v>
      </c>
      <c r="H65">
        <v>11.1</v>
      </c>
      <c r="I65">
        <v>90.000003576278701</v>
      </c>
      <c r="J65">
        <v>7.1120276499999999</v>
      </c>
      <c r="K65">
        <v>5.5544900894165004</v>
      </c>
      <c r="L65">
        <v>15.630999565124499</v>
      </c>
      <c r="M65" t="s">
        <v>63</v>
      </c>
      <c r="N65">
        <v>21.306568609999999</v>
      </c>
      <c r="O65">
        <v>4948.3500000000004</v>
      </c>
      <c r="P65">
        <v>27718.05</v>
      </c>
      <c r="Q65">
        <v>27121.43</v>
      </c>
    </row>
    <row r="66" spans="1:17" x14ac:dyDescent="0.3">
      <c r="A66" t="s">
        <v>30</v>
      </c>
      <c r="B66" t="s">
        <v>77</v>
      </c>
      <c r="C66" t="s">
        <v>20</v>
      </c>
      <c r="D66" t="s">
        <v>59</v>
      </c>
      <c r="E66" s="5">
        <f t="shared" ref="E66:E129" si="1">DATE(F66,1,1)</f>
        <v>39448</v>
      </c>
      <c r="F66">
        <v>2008</v>
      </c>
      <c r="G66">
        <v>56.177999999999997</v>
      </c>
      <c r="H66">
        <v>25.5</v>
      </c>
      <c r="I66">
        <v>1570.0000524520899</v>
      </c>
      <c r="J66">
        <v>3.8406379199999998</v>
      </c>
      <c r="K66">
        <v>3.2853000164032</v>
      </c>
      <c r="L66">
        <v>3.33500003814697</v>
      </c>
      <c r="M66" t="s">
        <v>76</v>
      </c>
      <c r="N66">
        <v>6.9898991730000004</v>
      </c>
      <c r="O66">
        <v>218187.25</v>
      </c>
      <c r="P66">
        <v>2915004.77</v>
      </c>
      <c r="Q66">
        <v>914401.38</v>
      </c>
    </row>
    <row r="67" spans="1:17" x14ac:dyDescent="0.3">
      <c r="A67" t="s">
        <v>29</v>
      </c>
      <c r="B67" t="s">
        <v>78</v>
      </c>
      <c r="C67" t="s">
        <v>20</v>
      </c>
      <c r="D67" t="s">
        <v>61</v>
      </c>
      <c r="E67" s="5">
        <f t="shared" si="1"/>
        <v>39448</v>
      </c>
      <c r="F67">
        <v>2008</v>
      </c>
      <c r="G67">
        <v>56.777000000000001</v>
      </c>
      <c r="H67">
        <v>25.9</v>
      </c>
      <c r="I67">
        <v>6079.9999237060501</v>
      </c>
      <c r="J67">
        <v>5.5570483199999998</v>
      </c>
      <c r="K67">
        <v>4.1859102249145499</v>
      </c>
      <c r="L67">
        <v>2.7690000534057599</v>
      </c>
      <c r="M67" t="s">
        <v>54</v>
      </c>
      <c r="N67">
        <v>14.67210672</v>
      </c>
      <c r="O67">
        <v>1264044.5900000001</v>
      </c>
      <c r="P67">
        <v>19265916.120000001</v>
      </c>
      <c r="Q67">
        <v>6776601.3200000003</v>
      </c>
    </row>
    <row r="68" spans="1:17" x14ac:dyDescent="0.3">
      <c r="A68" t="s">
        <v>13</v>
      </c>
      <c r="B68" t="s">
        <v>83</v>
      </c>
      <c r="C68" t="s">
        <v>15</v>
      </c>
      <c r="D68" t="s">
        <v>61</v>
      </c>
      <c r="E68" s="5">
        <f t="shared" si="1"/>
        <v>39448</v>
      </c>
      <c r="F68">
        <v>2008</v>
      </c>
      <c r="G68">
        <v>71.158000000000001</v>
      </c>
      <c r="H68">
        <v>4</v>
      </c>
      <c r="I68">
        <v>170.000001788139</v>
      </c>
      <c r="J68">
        <v>4.6574807199999997</v>
      </c>
      <c r="K68">
        <v>5.1442098617553702</v>
      </c>
      <c r="L68">
        <v>5.5809998512268102</v>
      </c>
      <c r="M68" t="s">
        <v>81</v>
      </c>
      <c r="N68">
        <v>48.339796849999999</v>
      </c>
      <c r="O68">
        <v>5995.53</v>
      </c>
      <c r="P68">
        <v>8678.4500000000007</v>
      </c>
      <c r="Q68">
        <v>38213.379999999997</v>
      </c>
    </row>
    <row r="69" spans="1:17" x14ac:dyDescent="0.3">
      <c r="A69" t="s">
        <v>5</v>
      </c>
      <c r="B69" t="s">
        <v>55</v>
      </c>
      <c r="C69" t="s">
        <v>16</v>
      </c>
      <c r="D69" t="s">
        <v>53</v>
      </c>
      <c r="E69" s="5">
        <f t="shared" si="1"/>
        <v>39814</v>
      </c>
      <c r="F69">
        <v>2009</v>
      </c>
      <c r="G69">
        <v>73.117999999999995</v>
      </c>
      <c r="H69">
        <v>4.4000000000000004</v>
      </c>
      <c r="I69">
        <v>4510.0002288818396</v>
      </c>
      <c r="J69">
        <v>8.4437799499999997</v>
      </c>
      <c r="K69">
        <v>3.8407900333404501</v>
      </c>
      <c r="L69">
        <v>18.440000534057599</v>
      </c>
      <c r="M69" t="s">
        <v>54</v>
      </c>
      <c r="N69">
        <v>52.427741519999998</v>
      </c>
      <c r="O69">
        <v>90683.22</v>
      </c>
      <c r="P69">
        <v>94419.59</v>
      </c>
      <c r="Q69">
        <v>800241.45</v>
      </c>
    </row>
    <row r="70" spans="1:17" x14ac:dyDescent="0.3">
      <c r="A70" t="s">
        <v>6</v>
      </c>
      <c r="B70" t="s">
        <v>57</v>
      </c>
      <c r="C70" t="s">
        <v>16</v>
      </c>
      <c r="D70" t="s">
        <v>53</v>
      </c>
      <c r="E70" s="5">
        <f t="shared" si="1"/>
        <v>39814</v>
      </c>
      <c r="F70">
        <v>2009</v>
      </c>
      <c r="G70">
        <v>70.596999999999994</v>
      </c>
      <c r="H70">
        <v>2.5</v>
      </c>
      <c r="I70">
        <v>25500</v>
      </c>
      <c r="J70">
        <v>2.6137836000000001</v>
      </c>
      <c r="K70">
        <v>3.2243099212646502</v>
      </c>
      <c r="L70">
        <v>5.7399997711181596</v>
      </c>
      <c r="M70" t="s">
        <v>56</v>
      </c>
      <c r="N70">
        <v>24.508164829999998</v>
      </c>
      <c r="O70">
        <v>237392.31</v>
      </c>
      <c r="P70">
        <v>718762.42</v>
      </c>
      <c r="Q70">
        <v>2118300.33</v>
      </c>
    </row>
    <row r="71" spans="1:17" x14ac:dyDescent="0.3">
      <c r="A71" t="s">
        <v>7</v>
      </c>
      <c r="B71" t="s">
        <v>79</v>
      </c>
      <c r="C71" t="s">
        <v>19</v>
      </c>
      <c r="D71" t="s">
        <v>61</v>
      </c>
      <c r="E71" s="5">
        <f t="shared" si="1"/>
        <v>39814</v>
      </c>
      <c r="F71">
        <v>2009</v>
      </c>
      <c r="G71">
        <v>69.484999999999999</v>
      </c>
      <c r="H71">
        <v>14.8</v>
      </c>
      <c r="I71">
        <v>44750</v>
      </c>
      <c r="J71">
        <v>2.5609779399999999</v>
      </c>
      <c r="K71">
        <v>1.9394199848175</v>
      </c>
      <c r="L71">
        <v>5</v>
      </c>
      <c r="M71" t="s">
        <v>54</v>
      </c>
      <c r="N71">
        <v>27.35956418</v>
      </c>
      <c r="O71">
        <v>4132735.05</v>
      </c>
      <c r="P71">
        <v>19197079.73</v>
      </c>
      <c r="Q71">
        <v>23932837.149999999</v>
      </c>
    </row>
    <row r="72" spans="1:17" x14ac:dyDescent="0.3">
      <c r="A72" t="s">
        <v>21</v>
      </c>
      <c r="B72" t="s">
        <v>58</v>
      </c>
      <c r="C72" t="s">
        <v>20</v>
      </c>
      <c r="D72" t="s">
        <v>59</v>
      </c>
      <c r="E72" s="5">
        <f t="shared" si="1"/>
        <v>39814</v>
      </c>
      <c r="F72">
        <v>2009</v>
      </c>
      <c r="G72">
        <v>46.719000000000001</v>
      </c>
      <c r="H72">
        <v>31.9</v>
      </c>
      <c r="I72">
        <v>170.000001788139</v>
      </c>
      <c r="J72">
        <v>4.8190107299999996</v>
      </c>
      <c r="K72">
        <v>1.2545800209045399</v>
      </c>
      <c r="L72">
        <v>5.48699998855591</v>
      </c>
      <c r="M72" t="s">
        <v>56</v>
      </c>
      <c r="N72">
        <v>17.532256180000001</v>
      </c>
      <c r="O72">
        <v>362707.02</v>
      </c>
      <c r="P72">
        <v>3649902.63</v>
      </c>
      <c r="Q72">
        <v>879031.95</v>
      </c>
    </row>
    <row r="73" spans="1:17" x14ac:dyDescent="0.3">
      <c r="A73" t="s">
        <v>22</v>
      </c>
      <c r="B73" t="s">
        <v>80</v>
      </c>
      <c r="C73" t="s">
        <v>20</v>
      </c>
      <c r="D73" t="s">
        <v>59</v>
      </c>
      <c r="E73" s="5">
        <f t="shared" si="1"/>
        <v>39814</v>
      </c>
      <c r="F73">
        <v>2009</v>
      </c>
      <c r="G73">
        <v>60.645000000000003</v>
      </c>
      <c r="H73">
        <v>28.5</v>
      </c>
      <c r="I73">
        <v>6530.0002098083496</v>
      </c>
      <c r="J73">
        <v>4.6498341600000002</v>
      </c>
      <c r="K73">
        <v>4.4220700263977104</v>
      </c>
      <c r="L73">
        <v>2.3800001144409202</v>
      </c>
      <c r="M73" t="s">
        <v>56</v>
      </c>
      <c r="N73">
        <v>4.3051048889999999</v>
      </c>
      <c r="O73">
        <v>3047373.39</v>
      </c>
      <c r="P73">
        <v>33446873.579999998</v>
      </c>
      <c r="Q73">
        <v>11190496.84</v>
      </c>
    </row>
    <row r="74" spans="1:17" x14ac:dyDescent="0.3">
      <c r="A74" t="s">
        <v>9</v>
      </c>
      <c r="B74" t="s">
        <v>62</v>
      </c>
      <c r="C74" t="s">
        <v>16</v>
      </c>
      <c r="D74" t="s">
        <v>53</v>
      </c>
      <c r="E74" s="5">
        <f t="shared" si="1"/>
        <v>39814</v>
      </c>
      <c r="F74">
        <v>2009</v>
      </c>
      <c r="G74">
        <v>71.180000000000007</v>
      </c>
      <c r="H74">
        <v>5</v>
      </c>
      <c r="I74">
        <v>5619.9998855590802</v>
      </c>
      <c r="J74">
        <v>9.56681633</v>
      </c>
      <c r="K74">
        <v>3.22237992286682</v>
      </c>
      <c r="L74">
        <v>20.709999084472699</v>
      </c>
      <c r="M74" t="s">
        <v>54</v>
      </c>
      <c r="N74">
        <v>41.575985490000001</v>
      </c>
      <c r="O74">
        <v>151567.35999999999</v>
      </c>
      <c r="P74">
        <v>138845.93</v>
      </c>
      <c r="Q74">
        <v>1347172.87</v>
      </c>
    </row>
    <row r="75" spans="1:17" x14ac:dyDescent="0.3">
      <c r="A75" t="s">
        <v>23</v>
      </c>
      <c r="B75" t="s">
        <v>64</v>
      </c>
      <c r="C75" t="s">
        <v>20</v>
      </c>
      <c r="D75" t="s">
        <v>61</v>
      </c>
      <c r="E75" s="5">
        <f t="shared" si="1"/>
        <v>39814</v>
      </c>
      <c r="F75">
        <v>2009</v>
      </c>
      <c r="G75">
        <v>60.645000000000003</v>
      </c>
      <c r="H75">
        <v>6.6</v>
      </c>
      <c r="I75">
        <v>10010.0002288818</v>
      </c>
      <c r="J75">
        <v>4.4222006800000004</v>
      </c>
      <c r="K75">
        <v>5.3174400329589799</v>
      </c>
      <c r="L75">
        <v>5.2170000076293901</v>
      </c>
      <c r="M75" t="s">
        <v>81</v>
      </c>
      <c r="N75">
        <v>8.1643562079999992</v>
      </c>
      <c r="O75">
        <v>731211.02</v>
      </c>
      <c r="P75">
        <v>8504992.6600000001</v>
      </c>
      <c r="Q75">
        <v>3925633.79</v>
      </c>
    </row>
    <row r="76" spans="1:17" x14ac:dyDescent="0.3">
      <c r="A76" t="s">
        <v>32</v>
      </c>
      <c r="B76" t="s">
        <v>65</v>
      </c>
      <c r="C76" t="s">
        <v>19</v>
      </c>
      <c r="D76" t="s">
        <v>61</v>
      </c>
      <c r="E76" s="5">
        <f t="shared" si="1"/>
        <v>39814</v>
      </c>
      <c r="F76">
        <v>2009</v>
      </c>
      <c r="G76">
        <v>66.244</v>
      </c>
      <c r="H76">
        <v>16.3</v>
      </c>
      <c r="I76">
        <v>1564880.0048828099</v>
      </c>
      <c r="J76">
        <v>3.4853787399999998</v>
      </c>
      <c r="K76">
        <v>3.2782499790191699</v>
      </c>
      <c r="L76">
        <v>5.5440001487731898</v>
      </c>
      <c r="M76" t="s">
        <v>63</v>
      </c>
      <c r="N76">
        <v>23.338640699999999</v>
      </c>
      <c r="O76">
        <v>54420117.229999997</v>
      </c>
      <c r="P76">
        <v>217642490.30000001</v>
      </c>
      <c r="Q76">
        <v>222096113.69999999</v>
      </c>
    </row>
    <row r="77" spans="1:17" x14ac:dyDescent="0.3">
      <c r="A77" t="s">
        <v>24</v>
      </c>
      <c r="B77" t="s">
        <v>68</v>
      </c>
      <c r="C77" t="s">
        <v>20</v>
      </c>
      <c r="D77" t="s">
        <v>59</v>
      </c>
      <c r="E77" s="5">
        <f t="shared" si="1"/>
        <v>39814</v>
      </c>
      <c r="F77">
        <v>2009</v>
      </c>
      <c r="G77">
        <v>62.944000000000003</v>
      </c>
      <c r="H77">
        <v>29.7</v>
      </c>
      <c r="I77">
        <v>1690.0000572204599</v>
      </c>
      <c r="J77">
        <v>4.4167618800000001</v>
      </c>
      <c r="K77">
        <v>2.8251299858093302</v>
      </c>
      <c r="L77">
        <v>3.9749999046325701</v>
      </c>
      <c r="M77" t="s">
        <v>56</v>
      </c>
      <c r="N77">
        <v>6.6924165169999998</v>
      </c>
      <c r="O77">
        <v>539464.12</v>
      </c>
      <c r="P77">
        <v>7098257.2599999998</v>
      </c>
      <c r="Q77">
        <v>3234177.99</v>
      </c>
    </row>
    <row r="78" spans="1:17" x14ac:dyDescent="0.3">
      <c r="A78" t="s">
        <v>25</v>
      </c>
      <c r="B78" t="s">
        <v>69</v>
      </c>
      <c r="C78" t="s">
        <v>20</v>
      </c>
      <c r="D78" t="s">
        <v>59</v>
      </c>
      <c r="E78" s="5">
        <f t="shared" si="1"/>
        <v>39814</v>
      </c>
      <c r="F78">
        <v>2009</v>
      </c>
      <c r="G78">
        <v>54.756</v>
      </c>
      <c r="H78">
        <v>7.4</v>
      </c>
      <c r="I78">
        <v>2509.99999046326</v>
      </c>
      <c r="J78">
        <v>5.2265791899999998</v>
      </c>
      <c r="K78">
        <v>3.86904001235962</v>
      </c>
      <c r="L78">
        <v>9.2869997024536097</v>
      </c>
      <c r="M78" t="s">
        <v>63</v>
      </c>
      <c r="N78">
        <v>12.156775039999999</v>
      </c>
      <c r="O78">
        <v>631624.62</v>
      </c>
      <c r="P78">
        <v>10192848.16</v>
      </c>
      <c r="Q78">
        <v>2562387.48</v>
      </c>
    </row>
    <row r="79" spans="1:17" x14ac:dyDescent="0.3">
      <c r="A79" t="s">
        <v>11</v>
      </c>
      <c r="B79" t="s">
        <v>82</v>
      </c>
      <c r="C79" t="s">
        <v>15</v>
      </c>
      <c r="D79" t="s">
        <v>61</v>
      </c>
      <c r="E79" s="5">
        <f t="shared" si="1"/>
        <v>39814</v>
      </c>
      <c r="F79">
        <v>2009</v>
      </c>
      <c r="G79">
        <v>66.915999999999997</v>
      </c>
      <c r="H79">
        <v>19.600000000000001</v>
      </c>
      <c r="I79">
        <v>13640.000343322799</v>
      </c>
      <c r="J79">
        <v>4.4597988099999997</v>
      </c>
      <c r="K79">
        <v>5.1448497772216797</v>
      </c>
      <c r="L79">
        <v>5.8600001335143999</v>
      </c>
      <c r="M79" t="s">
        <v>54</v>
      </c>
      <c r="N79">
        <v>40.501103069999999</v>
      </c>
      <c r="O79">
        <v>173488.53</v>
      </c>
      <c r="P79">
        <v>231302.13</v>
      </c>
      <c r="Q79">
        <v>675940.46</v>
      </c>
    </row>
    <row r="80" spans="1:17" x14ac:dyDescent="0.3">
      <c r="A80" t="s">
        <v>12</v>
      </c>
      <c r="B80" t="s">
        <v>70</v>
      </c>
      <c r="C80" t="s">
        <v>19</v>
      </c>
      <c r="D80" t="s">
        <v>61</v>
      </c>
      <c r="E80" s="5">
        <f t="shared" si="1"/>
        <v>39814</v>
      </c>
      <c r="F80">
        <v>2009</v>
      </c>
      <c r="G80">
        <v>67.177999999999997</v>
      </c>
      <c r="H80">
        <v>11.2</v>
      </c>
      <c r="I80">
        <v>3880.0001144409198</v>
      </c>
      <c r="J80">
        <v>3.8931474700000002</v>
      </c>
      <c r="K80">
        <v>4.6637601852417001</v>
      </c>
      <c r="L80">
        <v>1.5509999990463299</v>
      </c>
      <c r="M80" t="s">
        <v>54</v>
      </c>
      <c r="N80">
        <v>24.97934304</v>
      </c>
      <c r="O80">
        <v>841919.02</v>
      </c>
      <c r="P80">
        <v>4368416.5599999996</v>
      </c>
      <c r="Q80">
        <v>4572360.62</v>
      </c>
    </row>
    <row r="81" spans="1:17" x14ac:dyDescent="0.3">
      <c r="A81" t="s">
        <v>27</v>
      </c>
      <c r="B81" t="s">
        <v>71</v>
      </c>
      <c r="C81" t="s">
        <v>20</v>
      </c>
      <c r="D81" t="s">
        <v>61</v>
      </c>
      <c r="E81" s="5">
        <f t="shared" si="1"/>
        <v>39814</v>
      </c>
      <c r="F81">
        <v>2009</v>
      </c>
      <c r="G81">
        <v>63.606999999999999</v>
      </c>
      <c r="H81">
        <v>11</v>
      </c>
      <c r="I81">
        <v>6670.0000762939499</v>
      </c>
      <c r="J81">
        <v>3.8415708500000001</v>
      </c>
      <c r="K81">
        <v>4.9207301139831499</v>
      </c>
      <c r="L81">
        <v>10.211000442504901</v>
      </c>
      <c r="M81" t="s">
        <v>54</v>
      </c>
      <c r="N81">
        <v>17.03991637</v>
      </c>
      <c r="O81">
        <v>326440.71999999997</v>
      </c>
      <c r="P81">
        <v>3653873.89</v>
      </c>
      <c r="Q81">
        <v>1894866.64</v>
      </c>
    </row>
    <row r="82" spans="1:17" x14ac:dyDescent="0.3">
      <c r="A82" t="s">
        <v>28</v>
      </c>
      <c r="B82" t="s">
        <v>72</v>
      </c>
      <c r="C82" t="s">
        <v>20</v>
      </c>
      <c r="D82" t="s">
        <v>59</v>
      </c>
      <c r="E82" s="5">
        <f t="shared" si="1"/>
        <v>39814</v>
      </c>
      <c r="F82">
        <v>2009</v>
      </c>
      <c r="G82">
        <v>48.468000000000004</v>
      </c>
      <c r="H82">
        <v>34.9</v>
      </c>
      <c r="I82">
        <v>519.99998092651401</v>
      </c>
      <c r="J82">
        <v>11.09847832</v>
      </c>
      <c r="K82">
        <v>2.7781400680542001</v>
      </c>
      <c r="L82">
        <v>4.0489997863769496</v>
      </c>
      <c r="M82" t="s">
        <v>54</v>
      </c>
      <c r="N82">
        <v>11.123041669999999</v>
      </c>
      <c r="O82">
        <v>273162.17</v>
      </c>
      <c r="P82">
        <v>4016372.81</v>
      </c>
      <c r="Q82">
        <v>1142794.92</v>
      </c>
    </row>
    <row r="83" spans="1:17" x14ac:dyDescent="0.3">
      <c r="A83" t="s">
        <v>26</v>
      </c>
      <c r="B83" t="s">
        <v>73</v>
      </c>
      <c r="C83" t="s">
        <v>20</v>
      </c>
      <c r="D83" t="s">
        <v>61</v>
      </c>
      <c r="E83" s="5">
        <f t="shared" si="1"/>
        <v>39814</v>
      </c>
      <c r="F83">
        <v>2009</v>
      </c>
      <c r="G83">
        <v>66.938000000000002</v>
      </c>
      <c r="H83">
        <v>12.1</v>
      </c>
      <c r="I83">
        <v>90.000003576278701</v>
      </c>
      <c r="J83">
        <v>7.1951417900000001</v>
      </c>
      <c r="K83">
        <v>10.677900314331101</v>
      </c>
      <c r="L83">
        <v>15.1990003585815</v>
      </c>
      <c r="M83" t="s">
        <v>63</v>
      </c>
      <c r="N83">
        <v>22.398983529999999</v>
      </c>
      <c r="O83">
        <v>3792.05</v>
      </c>
      <c r="P83">
        <v>25773.81</v>
      </c>
      <c r="Q83">
        <v>27489.54</v>
      </c>
    </row>
    <row r="84" spans="1:17" x14ac:dyDescent="0.3">
      <c r="A84" t="s">
        <v>74</v>
      </c>
      <c r="B84" t="s">
        <v>75</v>
      </c>
      <c r="C84" t="s">
        <v>20</v>
      </c>
      <c r="D84" t="s">
        <v>59</v>
      </c>
      <c r="E84" s="5">
        <f t="shared" si="1"/>
        <v>39814</v>
      </c>
      <c r="F84">
        <v>2009</v>
      </c>
      <c r="G84">
        <v>50.345999999999997</v>
      </c>
      <c r="H84">
        <v>35.700000000000003</v>
      </c>
      <c r="I84">
        <v>790.00002145767201</v>
      </c>
      <c r="J84">
        <v>4.4416651700000003</v>
      </c>
      <c r="K84">
        <v>2.3117399215698202</v>
      </c>
      <c r="L84">
        <v>0.95899999141693104</v>
      </c>
      <c r="M84" t="s">
        <v>76</v>
      </c>
      <c r="N84">
        <v>8.8342881519999992</v>
      </c>
      <c r="O84">
        <v>498366.08</v>
      </c>
      <c r="P84">
        <v>8264334</v>
      </c>
      <c r="Q84">
        <v>1852401.46</v>
      </c>
    </row>
    <row r="85" spans="1:17" x14ac:dyDescent="0.3">
      <c r="A85" t="s">
        <v>30</v>
      </c>
      <c r="B85" t="s">
        <v>77</v>
      </c>
      <c r="C85" t="s">
        <v>20</v>
      </c>
      <c r="D85" t="s">
        <v>59</v>
      </c>
      <c r="E85" s="5">
        <f t="shared" si="1"/>
        <v>39814</v>
      </c>
      <c r="F85">
        <v>2009</v>
      </c>
      <c r="G85">
        <v>56.817999999999998</v>
      </c>
      <c r="H85">
        <v>23</v>
      </c>
      <c r="I85">
        <v>2819.9999332428001</v>
      </c>
      <c r="J85">
        <v>4.0761723500000002</v>
      </c>
      <c r="K85">
        <v>3.86788010597229</v>
      </c>
      <c r="L85">
        <v>2.8829998970031698</v>
      </c>
      <c r="M85" t="s">
        <v>76</v>
      </c>
      <c r="N85">
        <v>7.1746952689999999</v>
      </c>
      <c r="O85">
        <v>227044.31</v>
      </c>
      <c r="P85">
        <v>2848275.56</v>
      </c>
      <c r="Q85">
        <v>947402.74</v>
      </c>
    </row>
    <row r="86" spans="1:17" x14ac:dyDescent="0.3">
      <c r="A86" t="s">
        <v>29</v>
      </c>
      <c r="B86" t="s">
        <v>78</v>
      </c>
      <c r="C86" t="s">
        <v>20</v>
      </c>
      <c r="D86" t="s">
        <v>61</v>
      </c>
      <c r="E86" s="5">
        <f t="shared" si="1"/>
        <v>39814</v>
      </c>
      <c r="F86">
        <v>2009</v>
      </c>
      <c r="G86">
        <v>57.665999999999997</v>
      </c>
      <c r="H86">
        <v>26.7</v>
      </c>
      <c r="I86">
        <v>5929.9998283386203</v>
      </c>
      <c r="J86">
        <v>5.0630641000000001</v>
      </c>
      <c r="K86">
        <v>3.9607601165771502</v>
      </c>
      <c r="L86">
        <v>2.5</v>
      </c>
      <c r="M86" t="s">
        <v>54</v>
      </c>
      <c r="N86">
        <v>15.811763450000001</v>
      </c>
      <c r="O86">
        <v>1314777.3600000001</v>
      </c>
      <c r="P86">
        <v>18661267.73</v>
      </c>
      <c r="Q86">
        <v>6984309.6799999997</v>
      </c>
    </row>
    <row r="87" spans="1:17" x14ac:dyDescent="0.3">
      <c r="A87" t="s">
        <v>5</v>
      </c>
      <c r="B87" t="s">
        <v>55</v>
      </c>
      <c r="C87" t="s">
        <v>16</v>
      </c>
      <c r="D87" t="s">
        <v>53</v>
      </c>
      <c r="E87" s="5">
        <f t="shared" si="1"/>
        <v>40179</v>
      </c>
      <c r="F87">
        <v>2010</v>
      </c>
      <c r="G87">
        <v>73.331000000000003</v>
      </c>
      <c r="H87">
        <v>3.7</v>
      </c>
      <c r="I87">
        <v>4340.0001525878897</v>
      </c>
      <c r="J87">
        <v>9.2353906600000002</v>
      </c>
      <c r="K87">
        <v>3.2490000724792498</v>
      </c>
      <c r="L87">
        <v>19.0100002288818</v>
      </c>
      <c r="M87" t="s">
        <v>54</v>
      </c>
      <c r="N87">
        <v>53.908713579999997</v>
      </c>
      <c r="O87">
        <v>89368.82</v>
      </c>
      <c r="P87">
        <v>91218.33</v>
      </c>
      <c r="Q87">
        <v>796897.9</v>
      </c>
    </row>
    <row r="88" spans="1:17" x14ac:dyDescent="0.3">
      <c r="A88" t="s">
        <v>6</v>
      </c>
      <c r="B88" t="s">
        <v>57</v>
      </c>
      <c r="C88" t="s">
        <v>16</v>
      </c>
      <c r="D88" t="s">
        <v>53</v>
      </c>
      <c r="E88" s="5">
        <f t="shared" si="1"/>
        <v>40179</v>
      </c>
      <c r="F88">
        <v>2010</v>
      </c>
      <c r="G88">
        <v>70.938000000000002</v>
      </c>
      <c r="H88">
        <v>2.5</v>
      </c>
      <c r="I88">
        <v>24309.999465942401</v>
      </c>
      <c r="J88">
        <v>2.4899666300000001</v>
      </c>
      <c r="K88">
        <v>2.7806200981140101</v>
      </c>
      <c r="L88">
        <v>5.6300001144409197</v>
      </c>
      <c r="M88" t="s">
        <v>56</v>
      </c>
      <c r="N88">
        <v>24.60805925</v>
      </c>
      <c r="O88">
        <v>241384.76</v>
      </c>
      <c r="P88">
        <v>704355.35</v>
      </c>
      <c r="Q88">
        <v>2151954.91</v>
      </c>
    </row>
    <row r="89" spans="1:17" x14ac:dyDescent="0.3">
      <c r="A89" t="s">
        <v>8</v>
      </c>
      <c r="B89" t="s">
        <v>84</v>
      </c>
      <c r="C89" t="s">
        <v>17</v>
      </c>
      <c r="D89" t="s">
        <v>61</v>
      </c>
      <c r="E89" s="5">
        <f t="shared" si="1"/>
        <v>40179</v>
      </c>
      <c r="F89">
        <v>2010</v>
      </c>
      <c r="G89">
        <v>68.007000000000005</v>
      </c>
      <c r="H89">
        <v>20.399999999999999</v>
      </c>
      <c r="I89">
        <v>15170.0000762939</v>
      </c>
      <c r="J89">
        <v>5.2023053199999998</v>
      </c>
      <c r="K89">
        <v>7.8099999427795401</v>
      </c>
      <c r="L89">
        <v>2.6140000820159899</v>
      </c>
      <c r="M89" t="s">
        <v>63</v>
      </c>
      <c r="N89">
        <v>38.697550700000001</v>
      </c>
      <c r="O89">
        <v>394579.20000000001</v>
      </c>
      <c r="P89">
        <v>1235114.31</v>
      </c>
      <c r="Q89">
        <v>1877780.69</v>
      </c>
    </row>
    <row r="90" spans="1:17" x14ac:dyDescent="0.3">
      <c r="A90" t="s">
        <v>21</v>
      </c>
      <c r="B90" t="s">
        <v>58</v>
      </c>
      <c r="C90" t="s">
        <v>20</v>
      </c>
      <c r="D90" t="s">
        <v>59</v>
      </c>
      <c r="E90" s="5">
        <f t="shared" si="1"/>
        <v>40179</v>
      </c>
      <c r="F90">
        <v>2010</v>
      </c>
      <c r="G90">
        <v>47.311999999999998</v>
      </c>
      <c r="H90">
        <v>30.3</v>
      </c>
      <c r="I90">
        <v>170.000001788139</v>
      </c>
      <c r="J90">
        <v>3.8270401999999999</v>
      </c>
      <c r="K90">
        <v>1.11760997772217</v>
      </c>
      <c r="L90">
        <v>5.6659998893737802</v>
      </c>
      <c r="M90" t="s">
        <v>56</v>
      </c>
      <c r="N90">
        <v>17.156136159999999</v>
      </c>
      <c r="O90">
        <v>376495.66</v>
      </c>
      <c r="P90">
        <v>3632631.56</v>
      </c>
      <c r="Q90">
        <v>908155.73</v>
      </c>
    </row>
    <row r="91" spans="1:17" x14ac:dyDescent="0.3">
      <c r="A91" t="s">
        <v>31</v>
      </c>
      <c r="B91" t="s">
        <v>60</v>
      </c>
      <c r="C91" t="s">
        <v>18</v>
      </c>
      <c r="D91" t="s">
        <v>61</v>
      </c>
      <c r="E91" s="5">
        <f t="shared" si="1"/>
        <v>40179</v>
      </c>
      <c r="F91">
        <v>2010</v>
      </c>
      <c r="G91">
        <v>60.061999999999998</v>
      </c>
      <c r="H91">
        <v>22.4</v>
      </c>
      <c r="I91">
        <v>519.99998092651401</v>
      </c>
      <c r="J91">
        <v>3.0615036500000001</v>
      </c>
      <c r="K91">
        <v>4.4902200698852504</v>
      </c>
      <c r="L91">
        <v>27.058000564575199</v>
      </c>
      <c r="M91" t="s">
        <v>56</v>
      </c>
      <c r="N91">
        <v>29.774948089999999</v>
      </c>
      <c r="O91">
        <v>32076.62</v>
      </c>
      <c r="P91">
        <v>307613.45</v>
      </c>
      <c r="Q91">
        <v>138892.23000000001</v>
      </c>
    </row>
    <row r="92" spans="1:17" x14ac:dyDescent="0.3">
      <c r="A92" t="s">
        <v>22</v>
      </c>
      <c r="B92" t="s">
        <v>80</v>
      </c>
      <c r="C92" t="s">
        <v>20</v>
      </c>
      <c r="D92" t="s">
        <v>59</v>
      </c>
      <c r="E92" s="5">
        <f t="shared" si="1"/>
        <v>40179</v>
      </c>
      <c r="F92">
        <v>2010</v>
      </c>
      <c r="G92">
        <v>61.627000000000002</v>
      </c>
      <c r="H92">
        <v>24.7</v>
      </c>
      <c r="I92">
        <v>6469.9997901916504</v>
      </c>
      <c r="J92">
        <v>5.4663724900000004</v>
      </c>
      <c r="K92">
        <v>4.4965901374816903</v>
      </c>
      <c r="L92">
        <v>2.33899998664856</v>
      </c>
      <c r="M92" t="s">
        <v>56</v>
      </c>
      <c r="N92">
        <v>4.5424233000000003</v>
      </c>
      <c r="O92">
        <v>2922804.32</v>
      </c>
      <c r="P92">
        <v>31853490.969999999</v>
      </c>
      <c r="Q92">
        <v>11192274.619999999</v>
      </c>
    </row>
    <row r="93" spans="1:17" x14ac:dyDescent="0.3">
      <c r="A93" t="s">
        <v>9</v>
      </c>
      <c r="B93" t="s">
        <v>62</v>
      </c>
      <c r="C93" t="s">
        <v>16</v>
      </c>
      <c r="D93" t="s">
        <v>53</v>
      </c>
      <c r="E93" s="5">
        <f t="shared" si="1"/>
        <v>40179</v>
      </c>
      <c r="F93">
        <v>2010</v>
      </c>
      <c r="G93">
        <v>71.459999999999994</v>
      </c>
      <c r="H93">
        <v>6.7</v>
      </c>
      <c r="I93">
        <v>5320.0001716613797</v>
      </c>
      <c r="J93">
        <v>9.0734119399999997</v>
      </c>
      <c r="K93">
        <v>2.80364990234375</v>
      </c>
      <c r="L93">
        <v>20.200000762939499</v>
      </c>
      <c r="M93" t="s">
        <v>63</v>
      </c>
      <c r="N93">
        <v>40.85714085</v>
      </c>
      <c r="O93">
        <v>149699.88</v>
      </c>
      <c r="P93">
        <v>131901.06</v>
      </c>
      <c r="Q93">
        <v>1339635.97</v>
      </c>
    </row>
    <row r="94" spans="1:17" x14ac:dyDescent="0.3">
      <c r="A94" t="s">
        <v>23</v>
      </c>
      <c r="B94" t="s">
        <v>64</v>
      </c>
      <c r="C94" t="s">
        <v>20</v>
      </c>
      <c r="D94" t="s">
        <v>61</v>
      </c>
      <c r="E94" s="5">
        <f t="shared" si="1"/>
        <v>40179</v>
      </c>
      <c r="F94">
        <v>2010</v>
      </c>
      <c r="G94">
        <v>61.03</v>
      </c>
      <c r="H94">
        <v>6.1</v>
      </c>
      <c r="I94">
        <v>11189.999580383301</v>
      </c>
      <c r="J94">
        <v>4.2511725399999998</v>
      </c>
      <c r="K94">
        <v>5.5405998229980504</v>
      </c>
      <c r="L94">
        <v>5.3800001144409197</v>
      </c>
      <c r="M94" t="s">
        <v>81</v>
      </c>
      <c r="N94">
        <v>8.6383076079999999</v>
      </c>
      <c r="O94">
        <v>741245.03</v>
      </c>
      <c r="P94">
        <v>8350244.9699999997</v>
      </c>
      <c r="Q94">
        <v>4016839.41</v>
      </c>
    </row>
    <row r="95" spans="1:17" x14ac:dyDescent="0.3">
      <c r="A95" t="s">
        <v>10</v>
      </c>
      <c r="B95" t="s">
        <v>85</v>
      </c>
      <c r="C95" t="s">
        <v>17</v>
      </c>
      <c r="D95" t="s">
        <v>61</v>
      </c>
      <c r="E95" s="5">
        <f t="shared" si="1"/>
        <v>40179</v>
      </c>
      <c r="F95">
        <v>2010</v>
      </c>
      <c r="G95">
        <v>73.316999999999993</v>
      </c>
      <c r="H95">
        <v>15.8</v>
      </c>
      <c r="I95">
        <v>8180.0003051757803</v>
      </c>
      <c r="J95">
        <v>8.7253637299999998</v>
      </c>
      <c r="K95">
        <v>6.8000001907348597</v>
      </c>
      <c r="L95">
        <v>4.1199998855590803</v>
      </c>
      <c r="M95" t="s">
        <v>54</v>
      </c>
      <c r="N95">
        <v>45.716093639999997</v>
      </c>
      <c r="O95">
        <v>403953.05</v>
      </c>
      <c r="P95">
        <v>505166.42</v>
      </c>
      <c r="Q95">
        <v>1338914.5900000001</v>
      </c>
    </row>
    <row r="96" spans="1:17" x14ac:dyDescent="0.3">
      <c r="A96" t="s">
        <v>32</v>
      </c>
      <c r="B96" t="s">
        <v>65</v>
      </c>
      <c r="C96" t="s">
        <v>19</v>
      </c>
      <c r="D96" t="s">
        <v>61</v>
      </c>
      <c r="E96" s="5">
        <f t="shared" si="1"/>
        <v>40179</v>
      </c>
      <c r="F96">
        <v>2010</v>
      </c>
      <c r="G96">
        <v>66.692999999999998</v>
      </c>
      <c r="H96">
        <v>15.9</v>
      </c>
      <c r="I96">
        <v>1659979.98046875</v>
      </c>
      <c r="J96">
        <v>3.2721190500000001</v>
      </c>
      <c r="K96">
        <v>3.3776900768279998</v>
      </c>
      <c r="L96">
        <v>5.5460000038146999</v>
      </c>
      <c r="M96" t="s">
        <v>63</v>
      </c>
      <c r="N96">
        <v>25.379388160000001</v>
      </c>
      <c r="O96">
        <v>55078934.609999999</v>
      </c>
      <c r="P96">
        <v>210484107.40000001</v>
      </c>
      <c r="Q96">
        <v>226910608.80000001</v>
      </c>
    </row>
    <row r="97" spans="1:17" x14ac:dyDescent="0.3">
      <c r="A97" t="s">
        <v>24</v>
      </c>
      <c r="B97" t="s">
        <v>68</v>
      </c>
      <c r="C97" t="s">
        <v>20</v>
      </c>
      <c r="D97" t="s">
        <v>59</v>
      </c>
      <c r="E97" s="5">
        <f t="shared" si="1"/>
        <v>40179</v>
      </c>
      <c r="F97">
        <v>2010</v>
      </c>
      <c r="G97">
        <v>63.387999999999998</v>
      </c>
      <c r="H97">
        <v>28.2</v>
      </c>
      <c r="I97">
        <v>1870.00000476837</v>
      </c>
      <c r="J97">
        <v>4.6510033599999998</v>
      </c>
      <c r="K97">
        <v>2.75</v>
      </c>
      <c r="L97">
        <v>4.2800002098083496</v>
      </c>
      <c r="M97" t="s">
        <v>56</v>
      </c>
      <c r="N97">
        <v>7.0416325769999997</v>
      </c>
      <c r="O97">
        <v>535392.1</v>
      </c>
      <c r="P97">
        <v>7090977.0599999996</v>
      </c>
      <c r="Q97">
        <v>3291985.37</v>
      </c>
    </row>
    <row r="98" spans="1:17" x14ac:dyDescent="0.3">
      <c r="A98" t="s">
        <v>25</v>
      </c>
      <c r="B98" t="s">
        <v>69</v>
      </c>
      <c r="C98" t="s">
        <v>20</v>
      </c>
      <c r="D98" t="s">
        <v>59</v>
      </c>
      <c r="E98" s="5">
        <f t="shared" si="1"/>
        <v>40179</v>
      </c>
      <c r="F98">
        <v>2010</v>
      </c>
      <c r="G98">
        <v>55.250999999999998</v>
      </c>
      <c r="H98">
        <v>5.8</v>
      </c>
      <c r="I98">
        <v>2779.9999713897701</v>
      </c>
      <c r="J98">
        <v>4.6786503799999997</v>
      </c>
      <c r="K98">
        <v>3.34388995170593</v>
      </c>
      <c r="L98">
        <v>8.0699996948242205</v>
      </c>
      <c r="M98" t="s">
        <v>63</v>
      </c>
      <c r="N98">
        <v>12.85689472</v>
      </c>
      <c r="O98">
        <v>631314.28</v>
      </c>
      <c r="P98">
        <v>10248188.83</v>
      </c>
      <c r="Q98">
        <v>2618578.83</v>
      </c>
    </row>
    <row r="99" spans="1:17" x14ac:dyDescent="0.3">
      <c r="A99" t="s">
        <v>11</v>
      </c>
      <c r="B99" t="s">
        <v>82</v>
      </c>
      <c r="C99" t="s">
        <v>15</v>
      </c>
      <c r="D99" t="s">
        <v>61</v>
      </c>
      <c r="E99" s="5">
        <f t="shared" si="1"/>
        <v>40179</v>
      </c>
      <c r="F99">
        <v>2010</v>
      </c>
      <c r="G99">
        <v>67.38</v>
      </c>
      <c r="H99">
        <v>16.5</v>
      </c>
      <c r="I99">
        <v>14310.000419616699</v>
      </c>
      <c r="J99">
        <v>3.7394561799999999</v>
      </c>
      <c r="K99">
        <v>4.6451001167297399</v>
      </c>
      <c r="L99">
        <v>6.5500001907348597</v>
      </c>
      <c r="M99" t="s">
        <v>54</v>
      </c>
      <c r="N99">
        <v>41.478958859999999</v>
      </c>
      <c r="O99">
        <v>174690.42</v>
      </c>
      <c r="P99">
        <v>229006.07</v>
      </c>
      <c r="Q99">
        <v>694500.77</v>
      </c>
    </row>
    <row r="100" spans="1:17" x14ac:dyDescent="0.3">
      <c r="A100" t="s">
        <v>34</v>
      </c>
      <c r="B100" t="s">
        <v>86</v>
      </c>
      <c r="C100" t="s">
        <v>20</v>
      </c>
      <c r="D100" t="s">
        <v>59</v>
      </c>
      <c r="E100" s="5">
        <f t="shared" si="1"/>
        <v>40179</v>
      </c>
      <c r="F100">
        <v>2010</v>
      </c>
      <c r="G100">
        <v>55.564</v>
      </c>
      <c r="H100">
        <v>15.5</v>
      </c>
      <c r="I100">
        <v>889.99998569488503</v>
      </c>
      <c r="J100">
        <v>7.2413830800000003</v>
      </c>
      <c r="K100">
        <v>3.5397999286651598</v>
      </c>
      <c r="L100">
        <v>5.8940000534057599</v>
      </c>
      <c r="M100" t="s">
        <v>54</v>
      </c>
      <c r="N100">
        <v>21.68798232</v>
      </c>
      <c r="O100">
        <v>392139.91</v>
      </c>
      <c r="P100">
        <v>7074948.6900000004</v>
      </c>
      <c r="Q100">
        <v>2114559.41</v>
      </c>
    </row>
    <row r="101" spans="1:17" x14ac:dyDescent="0.3">
      <c r="A101" t="s">
        <v>12</v>
      </c>
      <c r="B101" t="s">
        <v>70</v>
      </c>
      <c r="C101" t="s">
        <v>19</v>
      </c>
      <c r="D101" t="s">
        <v>61</v>
      </c>
      <c r="E101" s="5">
        <f t="shared" si="1"/>
        <v>40179</v>
      </c>
      <c r="F101">
        <v>2010</v>
      </c>
      <c r="G101">
        <v>67.611000000000004</v>
      </c>
      <c r="H101">
        <v>9.9</v>
      </c>
      <c r="I101">
        <v>4639.9998664856003</v>
      </c>
      <c r="J101">
        <v>4.3516626399999998</v>
      </c>
      <c r="K101">
        <v>3.6317200660705602</v>
      </c>
      <c r="L101">
        <v>1.8200000524520901</v>
      </c>
      <c r="M101" t="s">
        <v>56</v>
      </c>
      <c r="N101">
        <v>26.862832210000001</v>
      </c>
      <c r="O101">
        <v>841754.17</v>
      </c>
      <c r="P101">
        <v>4140126.84</v>
      </c>
      <c r="Q101">
        <v>4673871.13</v>
      </c>
    </row>
    <row r="102" spans="1:17" x14ac:dyDescent="0.3">
      <c r="A102" t="s">
        <v>27</v>
      </c>
      <c r="B102" t="s">
        <v>71</v>
      </c>
      <c r="C102" t="s">
        <v>20</v>
      </c>
      <c r="D102" t="s">
        <v>61</v>
      </c>
      <c r="E102" s="5">
        <f t="shared" si="1"/>
        <v>40179</v>
      </c>
      <c r="F102">
        <v>2010</v>
      </c>
      <c r="G102">
        <v>64.284000000000006</v>
      </c>
      <c r="H102">
        <v>11.3</v>
      </c>
      <c r="I102">
        <v>7030.0002098083496</v>
      </c>
      <c r="J102">
        <v>4.0276417699999998</v>
      </c>
      <c r="K102">
        <v>5.2177400588989302</v>
      </c>
      <c r="L102">
        <v>10.263999938964799</v>
      </c>
      <c r="M102" t="s">
        <v>54</v>
      </c>
      <c r="N102">
        <v>17.676600350000001</v>
      </c>
      <c r="O102">
        <v>296715.82</v>
      </c>
      <c r="P102">
        <v>3716347.24</v>
      </c>
      <c r="Q102">
        <v>1830704.3</v>
      </c>
    </row>
    <row r="103" spans="1:17" x14ac:dyDescent="0.3">
      <c r="A103" t="s">
        <v>28</v>
      </c>
      <c r="B103" t="s">
        <v>72</v>
      </c>
      <c r="C103" t="s">
        <v>20</v>
      </c>
      <c r="D103" t="s">
        <v>59</v>
      </c>
      <c r="E103" s="5">
        <f t="shared" si="1"/>
        <v>40179</v>
      </c>
      <c r="F103">
        <v>2010</v>
      </c>
      <c r="G103">
        <v>49.381999999999998</v>
      </c>
      <c r="H103">
        <v>29.1</v>
      </c>
      <c r="I103">
        <v>560.00000238418602</v>
      </c>
      <c r="J103">
        <v>10.943380360000001</v>
      </c>
      <c r="K103">
        <v>2.5886399745941202</v>
      </c>
      <c r="L103">
        <v>4.1700000762939498</v>
      </c>
      <c r="M103" t="s">
        <v>54</v>
      </c>
      <c r="N103">
        <v>11.387593389999999</v>
      </c>
      <c r="O103">
        <v>267320</v>
      </c>
      <c r="P103">
        <v>3911711.83</v>
      </c>
      <c r="Q103">
        <v>1178263.76</v>
      </c>
    </row>
    <row r="104" spans="1:17" x14ac:dyDescent="0.3">
      <c r="A104" t="s">
        <v>26</v>
      </c>
      <c r="B104" t="s">
        <v>73</v>
      </c>
      <c r="C104" t="s">
        <v>20</v>
      </c>
      <c r="D104" t="s">
        <v>61</v>
      </c>
      <c r="E104" s="5">
        <f t="shared" si="1"/>
        <v>40179</v>
      </c>
      <c r="F104">
        <v>2010</v>
      </c>
      <c r="G104">
        <v>67.430000000000007</v>
      </c>
      <c r="H104">
        <v>13</v>
      </c>
      <c r="I104">
        <v>100.00000149011601</v>
      </c>
      <c r="J104">
        <v>6.8446488399999996</v>
      </c>
      <c r="K104">
        <v>9.6514701843261701</v>
      </c>
      <c r="L104">
        <v>14.6049995422363</v>
      </c>
      <c r="M104" t="s">
        <v>63</v>
      </c>
      <c r="N104">
        <v>23.49769521</v>
      </c>
      <c r="O104">
        <v>3945.29</v>
      </c>
      <c r="P104">
        <v>23395.06</v>
      </c>
      <c r="Q104">
        <v>28459.759999999998</v>
      </c>
    </row>
    <row r="105" spans="1:17" x14ac:dyDescent="0.3">
      <c r="A105" t="s">
        <v>74</v>
      </c>
      <c r="B105" t="s">
        <v>75</v>
      </c>
      <c r="C105" t="s">
        <v>20</v>
      </c>
      <c r="D105" t="s">
        <v>59</v>
      </c>
      <c r="E105" s="5">
        <f t="shared" si="1"/>
        <v>40179</v>
      </c>
      <c r="F105">
        <v>2010</v>
      </c>
      <c r="G105">
        <v>50.89</v>
      </c>
      <c r="H105">
        <v>31.4</v>
      </c>
      <c r="I105">
        <v>1240.00000953674</v>
      </c>
      <c r="J105">
        <v>4.0602316900000002</v>
      </c>
      <c r="K105">
        <v>1.98194003105164</v>
      </c>
      <c r="L105">
        <v>0.96399998664856001</v>
      </c>
      <c r="M105" t="s">
        <v>76</v>
      </c>
      <c r="N105">
        <v>8.8954954270000002</v>
      </c>
      <c r="O105">
        <v>506975.65</v>
      </c>
      <c r="P105">
        <v>8262666.8799999999</v>
      </c>
      <c r="Q105">
        <v>1910734.73</v>
      </c>
    </row>
    <row r="106" spans="1:17" x14ac:dyDescent="0.3">
      <c r="A106" t="s">
        <v>30</v>
      </c>
      <c r="B106" t="s">
        <v>77</v>
      </c>
      <c r="C106" t="s">
        <v>20</v>
      </c>
      <c r="D106" t="s">
        <v>59</v>
      </c>
      <c r="E106" s="5">
        <f t="shared" si="1"/>
        <v>40179</v>
      </c>
      <c r="F106">
        <v>2010</v>
      </c>
      <c r="G106">
        <v>57.468000000000004</v>
      </c>
      <c r="H106">
        <v>20.8</v>
      </c>
      <c r="I106">
        <v>2630.0001144409198</v>
      </c>
      <c r="J106">
        <v>4.4549293499999996</v>
      </c>
      <c r="K106">
        <v>4.0963501930236799</v>
      </c>
      <c r="L106">
        <v>2.4319999217987101</v>
      </c>
      <c r="M106" t="s">
        <v>56</v>
      </c>
      <c r="N106">
        <v>7.3611188629999997</v>
      </c>
      <c r="O106">
        <v>231107.15</v>
      </c>
      <c r="P106">
        <v>2765905.69</v>
      </c>
      <c r="Q106">
        <v>972039.15</v>
      </c>
    </row>
    <row r="107" spans="1:17" x14ac:dyDescent="0.3">
      <c r="A107" t="s">
        <v>29</v>
      </c>
      <c r="B107" t="s">
        <v>78</v>
      </c>
      <c r="C107" t="s">
        <v>20</v>
      </c>
      <c r="D107" t="s">
        <v>61</v>
      </c>
      <c r="E107" s="5">
        <f t="shared" si="1"/>
        <v>40179</v>
      </c>
      <c r="F107">
        <v>2010</v>
      </c>
      <c r="G107">
        <v>58.584000000000003</v>
      </c>
      <c r="H107">
        <v>25.6</v>
      </c>
      <c r="I107">
        <v>6909.9998474121103</v>
      </c>
      <c r="J107">
        <v>5.2239217800000004</v>
      </c>
      <c r="K107">
        <v>4.5416998863220197</v>
      </c>
      <c r="L107">
        <v>2.9860000610351598</v>
      </c>
      <c r="M107" t="s">
        <v>56</v>
      </c>
      <c r="N107">
        <v>16.93562275</v>
      </c>
      <c r="O107">
        <v>1325388.44</v>
      </c>
      <c r="P107">
        <v>18104420.09</v>
      </c>
      <c r="Q107">
        <v>7111755.4800000004</v>
      </c>
    </row>
    <row r="108" spans="1:17" x14ac:dyDescent="0.3">
      <c r="A108" t="s">
        <v>13</v>
      </c>
      <c r="B108" t="s">
        <v>83</v>
      </c>
      <c r="C108" t="s">
        <v>15</v>
      </c>
      <c r="D108" t="s">
        <v>61</v>
      </c>
      <c r="E108" s="5">
        <f t="shared" si="1"/>
        <v>40179</v>
      </c>
      <c r="F108">
        <v>2010</v>
      </c>
      <c r="G108">
        <v>71.662999999999997</v>
      </c>
      <c r="H108">
        <v>4.2</v>
      </c>
      <c r="I108">
        <v>189.99999761581401</v>
      </c>
      <c r="J108">
        <v>5.2918906200000002</v>
      </c>
      <c r="K108">
        <v>5.8499999046325701</v>
      </c>
      <c r="L108">
        <v>5.7280001640319798</v>
      </c>
      <c r="M108" t="s">
        <v>81</v>
      </c>
      <c r="N108">
        <v>48.200755909999998</v>
      </c>
      <c r="O108">
        <v>6176.83</v>
      </c>
      <c r="P108">
        <v>8627.32</v>
      </c>
      <c r="Q108">
        <v>38898.300000000003</v>
      </c>
    </row>
    <row r="109" spans="1:17" x14ac:dyDescent="0.3">
      <c r="A109" t="s">
        <v>5</v>
      </c>
      <c r="B109" t="s">
        <v>55</v>
      </c>
      <c r="C109" t="s">
        <v>16</v>
      </c>
      <c r="D109" t="s">
        <v>53</v>
      </c>
      <c r="E109" s="5">
        <f t="shared" si="1"/>
        <v>40544</v>
      </c>
      <c r="F109">
        <v>2011</v>
      </c>
      <c r="G109">
        <v>73.572000000000003</v>
      </c>
      <c r="H109">
        <v>3.4</v>
      </c>
      <c r="I109">
        <v>4940.0000572204599</v>
      </c>
      <c r="J109">
        <v>9.3758783300000008</v>
      </c>
      <c r="K109">
        <v>3.1438500881195099</v>
      </c>
      <c r="L109">
        <v>18.440000534057599</v>
      </c>
      <c r="M109" t="s">
        <v>54</v>
      </c>
      <c r="N109">
        <v>55.408475549999999</v>
      </c>
      <c r="O109">
        <v>88337.73</v>
      </c>
      <c r="P109">
        <v>88024.47</v>
      </c>
      <c r="Q109">
        <v>793471.02</v>
      </c>
    </row>
    <row r="110" spans="1:17" x14ac:dyDescent="0.3">
      <c r="A110" t="s">
        <v>7</v>
      </c>
      <c r="B110" t="s">
        <v>79</v>
      </c>
      <c r="C110" t="s">
        <v>19</v>
      </c>
      <c r="D110" t="s">
        <v>61</v>
      </c>
      <c r="E110" s="5">
        <f t="shared" si="1"/>
        <v>40544</v>
      </c>
      <c r="F110">
        <v>2011</v>
      </c>
      <c r="G110">
        <v>70.256</v>
      </c>
      <c r="H110">
        <v>15.8</v>
      </c>
      <c r="I110">
        <v>54419.998168945298</v>
      </c>
      <c r="J110">
        <v>2.7611839800000002</v>
      </c>
      <c r="K110">
        <v>2.1326999664306601</v>
      </c>
      <c r="L110">
        <v>3.7709999084472701</v>
      </c>
      <c r="M110" t="s">
        <v>56</v>
      </c>
      <c r="N110">
        <v>29.481244440000001</v>
      </c>
      <c r="O110">
        <v>3763712.05</v>
      </c>
      <c r="P110">
        <v>17357602.039999999</v>
      </c>
      <c r="Q110">
        <v>24215321.210000001</v>
      </c>
    </row>
    <row r="111" spans="1:17" x14ac:dyDescent="0.3">
      <c r="A111" t="s">
        <v>8</v>
      </c>
      <c r="B111" t="s">
        <v>84</v>
      </c>
      <c r="C111" t="s">
        <v>17</v>
      </c>
      <c r="D111" t="s">
        <v>61</v>
      </c>
      <c r="E111" s="5">
        <f t="shared" si="1"/>
        <v>40544</v>
      </c>
      <c r="F111">
        <v>2011</v>
      </c>
      <c r="G111">
        <v>68.521000000000001</v>
      </c>
      <c r="H111">
        <v>17.3</v>
      </c>
      <c r="I111">
        <v>16610.000610351599</v>
      </c>
      <c r="J111">
        <v>5.1730680500000004</v>
      </c>
      <c r="K111">
        <v>7.0700001716613796</v>
      </c>
      <c r="L111">
        <v>2.25</v>
      </c>
      <c r="M111" t="s">
        <v>63</v>
      </c>
      <c r="N111">
        <v>40.058160610000002</v>
      </c>
      <c r="O111">
        <v>394903.49</v>
      </c>
      <c r="P111">
        <v>1217027.1100000001</v>
      </c>
      <c r="Q111">
        <v>1919423.49</v>
      </c>
    </row>
    <row r="112" spans="1:17" x14ac:dyDescent="0.3">
      <c r="A112" t="s">
        <v>21</v>
      </c>
      <c r="B112" t="s">
        <v>58</v>
      </c>
      <c r="C112" t="s">
        <v>20</v>
      </c>
      <c r="D112" t="s">
        <v>59</v>
      </c>
      <c r="E112" s="5">
        <f t="shared" si="1"/>
        <v>40544</v>
      </c>
      <c r="F112">
        <v>2011</v>
      </c>
      <c r="G112">
        <v>47.95</v>
      </c>
      <c r="H112">
        <v>29.6</v>
      </c>
      <c r="I112">
        <v>189.99999761581401</v>
      </c>
      <c r="J112">
        <v>3.8737699999999999</v>
      </c>
      <c r="K112">
        <v>1.1079200506210301</v>
      </c>
      <c r="L112">
        <v>5.6149997711181596</v>
      </c>
      <c r="M112" t="s">
        <v>56</v>
      </c>
      <c r="N112">
        <v>16.78457431</v>
      </c>
      <c r="O112">
        <v>378078.61</v>
      </c>
      <c r="P112">
        <v>3600491.46</v>
      </c>
      <c r="Q112">
        <v>926514.7</v>
      </c>
    </row>
    <row r="113" spans="1:17" x14ac:dyDescent="0.3">
      <c r="A113" t="s">
        <v>22</v>
      </c>
      <c r="B113" t="s">
        <v>80</v>
      </c>
      <c r="C113" t="s">
        <v>20</v>
      </c>
      <c r="D113" t="s">
        <v>59</v>
      </c>
      <c r="E113" s="5">
        <f t="shared" si="1"/>
        <v>40544</v>
      </c>
      <c r="F113">
        <v>2011</v>
      </c>
      <c r="G113">
        <v>62.505000000000003</v>
      </c>
      <c r="H113">
        <v>20.9</v>
      </c>
      <c r="I113">
        <v>7539.9999618530301</v>
      </c>
      <c r="J113">
        <v>4.4689788799999999</v>
      </c>
      <c r="K113">
        <v>5.4857602119445801</v>
      </c>
      <c r="L113">
        <v>2.31200003623962</v>
      </c>
      <c r="M113" t="s">
        <v>54</v>
      </c>
      <c r="N113">
        <v>4.775775962</v>
      </c>
      <c r="O113">
        <v>2868780.28</v>
      </c>
      <c r="P113">
        <v>30193812.969999999</v>
      </c>
      <c r="Q113">
        <v>11354780.289999999</v>
      </c>
    </row>
    <row r="114" spans="1:17" x14ac:dyDescent="0.3">
      <c r="A114" t="s">
        <v>9</v>
      </c>
      <c r="B114" t="s">
        <v>62</v>
      </c>
      <c r="C114" t="s">
        <v>16</v>
      </c>
      <c r="D114" t="s">
        <v>53</v>
      </c>
      <c r="E114" s="5">
        <f t="shared" si="1"/>
        <v>40544</v>
      </c>
      <c r="F114">
        <v>2011</v>
      </c>
      <c r="G114">
        <v>71.772999999999996</v>
      </c>
      <c r="H114">
        <v>8.1999999999999993</v>
      </c>
      <c r="I114">
        <v>6519.99998092651</v>
      </c>
      <c r="J114">
        <v>8.0144433999999993</v>
      </c>
      <c r="K114">
        <v>2.5761399269103999</v>
      </c>
      <c r="L114">
        <v>19.629999160766602</v>
      </c>
      <c r="M114" t="s">
        <v>63</v>
      </c>
      <c r="N114">
        <v>40.136086679999998</v>
      </c>
      <c r="O114">
        <v>146777.10999999999</v>
      </c>
      <c r="P114">
        <v>126577.49</v>
      </c>
      <c r="Q114">
        <v>1323257.05</v>
      </c>
    </row>
    <row r="115" spans="1:17" x14ac:dyDescent="0.3">
      <c r="A115" t="s">
        <v>23</v>
      </c>
      <c r="B115" t="s">
        <v>64</v>
      </c>
      <c r="C115" t="s">
        <v>20</v>
      </c>
      <c r="D115" t="s">
        <v>61</v>
      </c>
      <c r="E115" s="5">
        <f t="shared" si="1"/>
        <v>40544</v>
      </c>
      <c r="F115">
        <v>2011</v>
      </c>
      <c r="G115">
        <v>61.381</v>
      </c>
      <c r="H115">
        <v>6.1</v>
      </c>
      <c r="I115">
        <v>11750</v>
      </c>
      <c r="J115">
        <v>4.7100825300000002</v>
      </c>
      <c r="K115">
        <v>8.1409702301025408</v>
      </c>
      <c r="L115">
        <v>5.5960001945495597</v>
      </c>
      <c r="M115" t="s">
        <v>81</v>
      </c>
      <c r="N115">
        <v>9.1123903540000004</v>
      </c>
      <c r="O115">
        <v>756012.61</v>
      </c>
      <c r="P115">
        <v>8061889.1100000003</v>
      </c>
      <c r="Q115">
        <v>4131445.02</v>
      </c>
    </row>
    <row r="116" spans="1:17" x14ac:dyDescent="0.3">
      <c r="A116" t="s">
        <v>10</v>
      </c>
      <c r="B116" t="s">
        <v>85</v>
      </c>
      <c r="C116" t="s">
        <v>17</v>
      </c>
      <c r="D116" t="s">
        <v>61</v>
      </c>
      <c r="E116" s="5">
        <f t="shared" si="1"/>
        <v>40544</v>
      </c>
      <c r="F116">
        <v>2011</v>
      </c>
      <c r="G116">
        <v>73.569000000000003</v>
      </c>
      <c r="H116">
        <v>13.4</v>
      </c>
      <c r="I116">
        <v>8810.0004196166992</v>
      </c>
      <c r="J116">
        <v>8.7918701200000005</v>
      </c>
      <c r="K116">
        <v>6.0999999046325701</v>
      </c>
      <c r="L116">
        <v>4.4699997901916504</v>
      </c>
      <c r="M116" t="s">
        <v>54</v>
      </c>
      <c r="N116">
        <v>46.155663789999998</v>
      </c>
      <c r="O116">
        <v>385112.29</v>
      </c>
      <c r="P116">
        <v>491783.46</v>
      </c>
      <c r="Q116">
        <v>1396227.52</v>
      </c>
    </row>
    <row r="117" spans="1:17" x14ac:dyDescent="0.3">
      <c r="A117" t="s">
        <v>32</v>
      </c>
      <c r="B117" t="s">
        <v>65</v>
      </c>
      <c r="C117" t="s">
        <v>19</v>
      </c>
      <c r="D117" t="s">
        <v>61</v>
      </c>
      <c r="E117" s="5">
        <f t="shared" si="1"/>
        <v>40544</v>
      </c>
      <c r="F117">
        <v>2011</v>
      </c>
      <c r="G117">
        <v>67.13</v>
      </c>
      <c r="H117">
        <v>15.4</v>
      </c>
      <c r="I117">
        <v>1756739.9902343799</v>
      </c>
      <c r="J117">
        <v>3.2463419400000002</v>
      </c>
      <c r="K117">
        <v>3.7961800098419198</v>
      </c>
      <c r="L117">
        <v>5.4260001182556197</v>
      </c>
      <c r="M117" t="s">
        <v>63</v>
      </c>
      <c r="N117">
        <v>27.42892062</v>
      </c>
      <c r="O117">
        <v>55636759.299999997</v>
      </c>
      <c r="P117">
        <v>204096428.19999999</v>
      </c>
      <c r="Q117">
        <v>233318867.59999999</v>
      </c>
    </row>
    <row r="118" spans="1:17" x14ac:dyDescent="0.3">
      <c r="A118" t="s">
        <v>33</v>
      </c>
      <c r="B118" t="s">
        <v>87</v>
      </c>
      <c r="C118" t="s">
        <v>15</v>
      </c>
      <c r="D118" t="s">
        <v>61</v>
      </c>
      <c r="E118" s="5">
        <f t="shared" si="1"/>
        <v>40544</v>
      </c>
      <c r="F118">
        <v>2011</v>
      </c>
      <c r="G118">
        <v>66.072000000000003</v>
      </c>
      <c r="H118">
        <v>3.5</v>
      </c>
      <c r="I118">
        <v>50.000000745058102</v>
      </c>
      <c r="J118">
        <v>8.5840511300000006</v>
      </c>
      <c r="K118">
        <v>12.9700002670288</v>
      </c>
      <c r="M118" t="s">
        <v>63</v>
      </c>
      <c r="N118">
        <v>23.192512449999999</v>
      </c>
      <c r="O118">
        <v>4653.82</v>
      </c>
      <c r="P118">
        <v>18153.490000000002</v>
      </c>
      <c r="Q118">
        <v>32622.41</v>
      </c>
    </row>
    <row r="119" spans="1:17" x14ac:dyDescent="0.3">
      <c r="A119" t="s">
        <v>66</v>
      </c>
      <c r="B119" t="s">
        <v>67</v>
      </c>
      <c r="C119" t="s">
        <v>20</v>
      </c>
      <c r="D119" t="s">
        <v>61</v>
      </c>
      <c r="E119" s="5">
        <f t="shared" si="1"/>
        <v>40544</v>
      </c>
      <c r="F119">
        <v>2011</v>
      </c>
      <c r="G119">
        <v>46.207000000000001</v>
      </c>
      <c r="H119">
        <v>12</v>
      </c>
      <c r="I119">
        <v>569.99999284744297</v>
      </c>
      <c r="J119">
        <v>9.5615167599999999</v>
      </c>
      <c r="K119">
        <v>8.16510009765625</v>
      </c>
      <c r="L119">
        <v>26.2439994812012</v>
      </c>
      <c r="M119" t="s">
        <v>63</v>
      </c>
      <c r="N119">
        <v>30.571552010000001</v>
      </c>
      <c r="O119">
        <v>166606.46</v>
      </c>
      <c r="P119">
        <v>1215897.94</v>
      </c>
      <c r="Q119">
        <v>423405.45</v>
      </c>
    </row>
    <row r="120" spans="1:17" x14ac:dyDescent="0.3">
      <c r="A120" t="s">
        <v>24</v>
      </c>
      <c r="B120" t="s">
        <v>68</v>
      </c>
      <c r="C120" t="s">
        <v>20</v>
      </c>
      <c r="D120" t="s">
        <v>59</v>
      </c>
      <c r="E120" s="5">
        <f t="shared" si="1"/>
        <v>40544</v>
      </c>
      <c r="F120">
        <v>2011</v>
      </c>
      <c r="G120">
        <v>63.835999999999999</v>
      </c>
      <c r="H120">
        <v>27.3</v>
      </c>
      <c r="I120">
        <v>2190.0000572204599</v>
      </c>
      <c r="J120">
        <v>4.43843079</v>
      </c>
      <c r="K120">
        <v>2.3816800117492698</v>
      </c>
      <c r="L120">
        <v>2.4440000057220499</v>
      </c>
      <c r="M120" t="s">
        <v>56</v>
      </c>
      <c r="N120">
        <v>7.388017703</v>
      </c>
      <c r="O120">
        <v>539357.48</v>
      </c>
      <c r="P120">
        <v>7002948.0999999996</v>
      </c>
      <c r="Q120">
        <v>3370290.96</v>
      </c>
    </row>
    <row r="121" spans="1:17" x14ac:dyDescent="0.3">
      <c r="A121" t="s">
        <v>25</v>
      </c>
      <c r="B121" t="s">
        <v>69</v>
      </c>
      <c r="C121" t="s">
        <v>20</v>
      </c>
      <c r="D121" t="s">
        <v>59</v>
      </c>
      <c r="E121" s="5">
        <f t="shared" si="1"/>
        <v>40544</v>
      </c>
      <c r="F121">
        <v>2011</v>
      </c>
      <c r="G121">
        <v>55.701000000000001</v>
      </c>
      <c r="H121">
        <v>4.2</v>
      </c>
      <c r="I121">
        <v>3119.9998855590802</v>
      </c>
      <c r="J121">
        <v>4.0148382199999997</v>
      </c>
      <c r="K121">
        <v>3.7542300224304199</v>
      </c>
      <c r="L121">
        <v>6.9000000953674299</v>
      </c>
      <c r="M121" t="s">
        <v>63</v>
      </c>
      <c r="N121">
        <v>13.56074692</v>
      </c>
      <c r="O121">
        <v>631356.62</v>
      </c>
      <c r="P121">
        <v>10277501.220000001</v>
      </c>
      <c r="Q121">
        <v>2666047.9</v>
      </c>
    </row>
    <row r="122" spans="1:17" x14ac:dyDescent="0.3">
      <c r="A122" t="s">
        <v>11</v>
      </c>
      <c r="B122" t="s">
        <v>82</v>
      </c>
      <c r="C122" t="s">
        <v>15</v>
      </c>
      <c r="D122" t="s">
        <v>61</v>
      </c>
      <c r="E122" s="5">
        <f t="shared" si="1"/>
        <v>40544</v>
      </c>
      <c r="F122">
        <v>2011</v>
      </c>
      <c r="G122">
        <v>67.817999999999998</v>
      </c>
      <c r="H122">
        <v>14.1</v>
      </c>
      <c r="I122">
        <v>15729.999542236301</v>
      </c>
      <c r="J122">
        <v>3.58612156</v>
      </c>
      <c r="K122">
        <v>4.60902976989746</v>
      </c>
      <c r="L122">
        <v>4.7699999809265101</v>
      </c>
      <c r="M122" t="s">
        <v>63</v>
      </c>
      <c r="N122">
        <v>42.880712150000001</v>
      </c>
      <c r="O122">
        <v>174316.79999999999</v>
      </c>
      <c r="P122">
        <v>225564.87</v>
      </c>
      <c r="Q122">
        <v>707671.86</v>
      </c>
    </row>
    <row r="123" spans="1:17" x14ac:dyDescent="0.3">
      <c r="A123" t="s">
        <v>34</v>
      </c>
      <c r="B123" t="s">
        <v>86</v>
      </c>
      <c r="C123" t="s">
        <v>20</v>
      </c>
      <c r="D123" t="s">
        <v>59</v>
      </c>
      <c r="E123" s="5">
        <f t="shared" si="1"/>
        <v>40544</v>
      </c>
      <c r="F123">
        <v>2011</v>
      </c>
      <c r="G123">
        <v>57.161000000000001</v>
      </c>
      <c r="H123">
        <v>13.7</v>
      </c>
      <c r="I123">
        <v>930.00000715255703</v>
      </c>
      <c r="J123">
        <v>7.4937515299999999</v>
      </c>
      <c r="K123">
        <v>4.1526198387145996</v>
      </c>
      <c r="L123">
        <v>5.9200000762939498</v>
      </c>
      <c r="M123" t="s">
        <v>54</v>
      </c>
      <c r="N123">
        <v>21.939489859999998</v>
      </c>
      <c r="O123">
        <v>408466.55</v>
      </c>
      <c r="P123">
        <v>6554340.4800000004</v>
      </c>
      <c r="Q123">
        <v>2183126.5</v>
      </c>
    </row>
    <row r="124" spans="1:17" x14ac:dyDescent="0.3">
      <c r="A124" t="s">
        <v>12</v>
      </c>
      <c r="B124" t="s">
        <v>70</v>
      </c>
      <c r="C124" t="s">
        <v>19</v>
      </c>
      <c r="D124" t="s">
        <v>61</v>
      </c>
      <c r="E124" s="5">
        <f t="shared" si="1"/>
        <v>40544</v>
      </c>
      <c r="F124">
        <v>2011</v>
      </c>
      <c r="G124">
        <v>68.028000000000006</v>
      </c>
      <c r="H124">
        <v>8.6</v>
      </c>
      <c r="I124">
        <v>5199.9998092651404</v>
      </c>
      <c r="J124">
        <v>4.4423499099999999</v>
      </c>
      <c r="K124">
        <v>3.8426198959350599</v>
      </c>
      <c r="L124">
        <v>2.0299999713897701</v>
      </c>
      <c r="M124" t="s">
        <v>54</v>
      </c>
      <c r="N124">
        <v>28.78532019</v>
      </c>
      <c r="O124">
        <v>846442.97</v>
      </c>
      <c r="P124">
        <v>3941513.66</v>
      </c>
      <c r="Q124">
        <v>4788783.1399999997</v>
      </c>
    </row>
    <row r="125" spans="1:17" x14ac:dyDescent="0.3">
      <c r="A125" t="s">
        <v>27</v>
      </c>
      <c r="B125" t="s">
        <v>71</v>
      </c>
      <c r="C125" t="s">
        <v>20</v>
      </c>
      <c r="D125" t="s">
        <v>61</v>
      </c>
      <c r="E125" s="5">
        <f t="shared" si="1"/>
        <v>40544</v>
      </c>
      <c r="F125">
        <v>2011</v>
      </c>
      <c r="G125">
        <v>64.897999999999996</v>
      </c>
      <c r="H125">
        <v>11.5</v>
      </c>
      <c r="I125">
        <v>7570.0001716613797</v>
      </c>
      <c r="J125">
        <v>4.2141656899999997</v>
      </c>
      <c r="K125">
        <v>4.9030299186706499</v>
      </c>
      <c r="L125">
        <v>10.3599996566772</v>
      </c>
      <c r="M125" t="s">
        <v>63</v>
      </c>
      <c r="N125">
        <v>18.321186369999999</v>
      </c>
      <c r="O125">
        <v>303726.52</v>
      </c>
      <c r="P125">
        <v>3621193.52</v>
      </c>
      <c r="Q125">
        <v>1878086.5</v>
      </c>
    </row>
    <row r="126" spans="1:17" x14ac:dyDescent="0.3">
      <c r="A126" t="s">
        <v>28</v>
      </c>
      <c r="B126" t="s">
        <v>72</v>
      </c>
      <c r="C126" t="s">
        <v>20</v>
      </c>
      <c r="D126" t="s">
        <v>59</v>
      </c>
      <c r="E126" s="5">
        <f t="shared" si="1"/>
        <v>40544</v>
      </c>
      <c r="F126">
        <v>2011</v>
      </c>
      <c r="G126">
        <v>50.234000000000002</v>
      </c>
      <c r="H126">
        <v>24.4</v>
      </c>
      <c r="I126">
        <v>740.00000953674305</v>
      </c>
      <c r="J126">
        <v>13.28134346</v>
      </c>
      <c r="K126">
        <v>2.6689000129699698</v>
      </c>
      <c r="L126">
        <v>4.2940001487731898</v>
      </c>
      <c r="M126" t="s">
        <v>54</v>
      </c>
      <c r="N126">
        <v>11.652588039999999</v>
      </c>
      <c r="O126">
        <v>269043.49</v>
      </c>
      <c r="P126">
        <v>3819282.92</v>
      </c>
      <c r="Q126">
        <v>1202219.0900000001</v>
      </c>
    </row>
    <row r="127" spans="1:17" x14ac:dyDescent="0.3">
      <c r="A127" t="s">
        <v>26</v>
      </c>
      <c r="B127" t="s">
        <v>73</v>
      </c>
      <c r="C127" t="s">
        <v>20</v>
      </c>
      <c r="D127" t="s">
        <v>61</v>
      </c>
      <c r="E127" s="5">
        <f t="shared" si="1"/>
        <v>40544</v>
      </c>
      <c r="F127">
        <v>2011</v>
      </c>
      <c r="G127">
        <v>67.885000000000005</v>
      </c>
      <c r="H127">
        <v>13.5</v>
      </c>
      <c r="I127">
        <v>100.00000149011601</v>
      </c>
      <c r="J127">
        <v>6.7557735399999999</v>
      </c>
      <c r="K127">
        <v>8.8910999298095703</v>
      </c>
      <c r="L127">
        <v>14.1079998016357</v>
      </c>
      <c r="M127" t="s">
        <v>63</v>
      </c>
      <c r="N127">
        <v>24.601976239999999</v>
      </c>
      <c r="O127">
        <v>3659.3</v>
      </c>
      <c r="P127">
        <v>23856.95</v>
      </c>
      <c r="Q127">
        <v>27821.03</v>
      </c>
    </row>
    <row r="128" spans="1:17" x14ac:dyDescent="0.3">
      <c r="A128" t="s">
        <v>74</v>
      </c>
      <c r="B128" t="s">
        <v>75</v>
      </c>
      <c r="C128" t="s">
        <v>20</v>
      </c>
      <c r="D128" t="s">
        <v>59</v>
      </c>
      <c r="E128" s="5">
        <f t="shared" si="1"/>
        <v>40544</v>
      </c>
      <c r="F128">
        <v>2011</v>
      </c>
      <c r="G128">
        <v>51.423999999999999</v>
      </c>
      <c r="H128">
        <v>26</v>
      </c>
      <c r="I128">
        <v>1100.00002384186</v>
      </c>
      <c r="J128">
        <v>3.9104661900000002</v>
      </c>
      <c r="K128">
        <v>2.2578999996185298</v>
      </c>
      <c r="L128">
        <v>1</v>
      </c>
      <c r="M128" t="s">
        <v>76</v>
      </c>
      <c r="N128">
        <v>8.9662405090000004</v>
      </c>
      <c r="O128">
        <v>508571.08</v>
      </c>
      <c r="P128">
        <v>8347816.1900000004</v>
      </c>
      <c r="Q128">
        <v>1960084.81</v>
      </c>
    </row>
    <row r="129" spans="1:17" x14ac:dyDescent="0.3">
      <c r="A129" t="s">
        <v>30</v>
      </c>
      <c r="B129" t="s">
        <v>77</v>
      </c>
      <c r="C129" t="s">
        <v>20</v>
      </c>
      <c r="D129" t="s">
        <v>59</v>
      </c>
      <c r="E129" s="5">
        <f t="shared" si="1"/>
        <v>40544</v>
      </c>
      <c r="F129">
        <v>2011</v>
      </c>
      <c r="G129">
        <v>58.091999999999999</v>
      </c>
      <c r="H129">
        <v>19.399999999999999</v>
      </c>
      <c r="I129">
        <v>2519.99998092651</v>
      </c>
      <c r="J129">
        <v>4.5541200599999998</v>
      </c>
      <c r="K129">
        <v>4.3092999458312997</v>
      </c>
      <c r="L129">
        <v>1.9800000190734901</v>
      </c>
      <c r="M129" t="s">
        <v>56</v>
      </c>
      <c r="N129">
        <v>7.5505510239999998</v>
      </c>
      <c r="O129">
        <v>233789.42</v>
      </c>
      <c r="P129">
        <v>2681025.2200000002</v>
      </c>
      <c r="Q129">
        <v>995472.41</v>
      </c>
    </row>
    <row r="130" spans="1:17" x14ac:dyDescent="0.3">
      <c r="A130" t="s">
        <v>29</v>
      </c>
      <c r="B130" t="s">
        <v>78</v>
      </c>
      <c r="C130" t="s">
        <v>20</v>
      </c>
      <c r="D130" t="s">
        <v>61</v>
      </c>
      <c r="E130" s="5">
        <f t="shared" ref="E130:E193" si="2">DATE(F130,1,1)</f>
        <v>40544</v>
      </c>
      <c r="F130">
        <v>2011</v>
      </c>
      <c r="G130">
        <v>59.524999999999999</v>
      </c>
      <c r="H130">
        <v>24.2</v>
      </c>
      <c r="I130">
        <v>8189.9995803832999</v>
      </c>
      <c r="J130">
        <v>5.0559849699999999</v>
      </c>
      <c r="K130">
        <v>3.5582900047302202</v>
      </c>
      <c r="L130">
        <v>3.4700000286102299</v>
      </c>
      <c r="M130" t="s">
        <v>54</v>
      </c>
      <c r="N130">
        <v>17.978446909999999</v>
      </c>
      <c r="O130">
        <v>1361380.27</v>
      </c>
      <c r="P130">
        <v>17588670.859999999</v>
      </c>
      <c r="Q130">
        <v>7262892.1500000004</v>
      </c>
    </row>
    <row r="131" spans="1:17" x14ac:dyDescent="0.3">
      <c r="A131" t="s">
        <v>13</v>
      </c>
      <c r="B131" t="s">
        <v>83</v>
      </c>
      <c r="C131" t="s">
        <v>15</v>
      </c>
      <c r="D131" t="s">
        <v>61</v>
      </c>
      <c r="E131" s="5">
        <f t="shared" si="2"/>
        <v>40544</v>
      </c>
      <c r="F131">
        <v>2011</v>
      </c>
      <c r="G131">
        <v>71.906000000000006</v>
      </c>
      <c r="H131">
        <v>4.0999999999999996</v>
      </c>
      <c r="I131">
        <v>200.00000298023201</v>
      </c>
      <c r="J131">
        <v>5.4401269000000001</v>
      </c>
      <c r="K131">
        <v>6.6100001335143999</v>
      </c>
      <c r="L131">
        <v>5.6799998283386204</v>
      </c>
      <c r="M131" t="s">
        <v>81</v>
      </c>
      <c r="N131">
        <v>48.131800910000003</v>
      </c>
      <c r="O131">
        <v>6202.06</v>
      </c>
      <c r="P131">
        <v>8637.94</v>
      </c>
      <c r="Q131">
        <v>39343.919999999998</v>
      </c>
    </row>
    <row r="132" spans="1:17" x14ac:dyDescent="0.3">
      <c r="A132" t="s">
        <v>5</v>
      </c>
      <c r="B132" t="s">
        <v>55</v>
      </c>
      <c r="C132" t="s">
        <v>16</v>
      </c>
      <c r="D132" t="s">
        <v>53</v>
      </c>
      <c r="E132" s="5">
        <f t="shared" si="2"/>
        <v>40909</v>
      </c>
      <c r="F132">
        <v>2012</v>
      </c>
      <c r="G132">
        <v>73.819999999999993</v>
      </c>
      <c r="H132">
        <v>3.2</v>
      </c>
      <c r="I132">
        <v>5719.9997901916504</v>
      </c>
      <c r="J132">
        <v>9.1345519999999993</v>
      </c>
      <c r="K132">
        <v>2.7724800109863299</v>
      </c>
      <c r="L132">
        <v>17.299999237060501</v>
      </c>
      <c r="M132" t="s">
        <v>63</v>
      </c>
      <c r="N132">
        <v>56.927063629999999</v>
      </c>
      <c r="O132">
        <v>87241.65</v>
      </c>
      <c r="P132">
        <v>83418.320000000007</v>
      </c>
      <c r="Q132">
        <v>784451.29</v>
      </c>
    </row>
    <row r="133" spans="1:17" x14ac:dyDescent="0.3">
      <c r="A133" t="s">
        <v>7</v>
      </c>
      <c r="B133" t="s">
        <v>79</v>
      </c>
      <c r="C133" t="s">
        <v>19</v>
      </c>
      <c r="D133" t="s">
        <v>61</v>
      </c>
      <c r="E133" s="5">
        <f t="shared" si="2"/>
        <v>40909</v>
      </c>
      <c r="F133">
        <v>2012</v>
      </c>
      <c r="G133">
        <v>70.605999999999995</v>
      </c>
      <c r="H133">
        <v>15.3</v>
      </c>
      <c r="I133">
        <v>57990.001678466797</v>
      </c>
      <c r="J133">
        <v>2.7482347499999999</v>
      </c>
      <c r="K133">
        <v>2.1754999160766602</v>
      </c>
      <c r="L133">
        <v>4.1189999580383301</v>
      </c>
      <c r="M133" t="s">
        <v>56</v>
      </c>
      <c r="N133">
        <v>30.533663000000001</v>
      </c>
      <c r="O133">
        <v>3592971.18</v>
      </c>
      <c r="P133">
        <v>16307103.640000001</v>
      </c>
      <c r="Q133">
        <v>24339817.550000001</v>
      </c>
    </row>
    <row r="134" spans="1:17" x14ac:dyDescent="0.3">
      <c r="A134" t="s">
        <v>8</v>
      </c>
      <c r="B134" t="s">
        <v>84</v>
      </c>
      <c r="C134" t="s">
        <v>17</v>
      </c>
      <c r="D134" t="s">
        <v>61</v>
      </c>
      <c r="E134" s="5">
        <f t="shared" si="2"/>
        <v>40909</v>
      </c>
      <c r="F134">
        <v>2012</v>
      </c>
      <c r="G134">
        <v>69.010000000000005</v>
      </c>
      <c r="H134">
        <v>16.7</v>
      </c>
      <c r="I134">
        <v>17420.000076293902</v>
      </c>
      <c r="J134">
        <v>5.2539444</v>
      </c>
      <c r="K134">
        <v>7.9000000953674299</v>
      </c>
      <c r="L134">
        <v>2.0699999332428001</v>
      </c>
      <c r="M134" t="s">
        <v>63</v>
      </c>
      <c r="N134">
        <v>41.436047539999997</v>
      </c>
      <c r="O134">
        <v>388682.16</v>
      </c>
      <c r="P134">
        <v>1199665.22</v>
      </c>
      <c r="Q134">
        <v>1960091.85</v>
      </c>
    </row>
    <row r="135" spans="1:17" x14ac:dyDescent="0.3">
      <c r="A135" t="s">
        <v>21</v>
      </c>
      <c r="B135" t="s">
        <v>58</v>
      </c>
      <c r="C135" t="s">
        <v>20</v>
      </c>
      <c r="D135" t="s">
        <v>59</v>
      </c>
      <c r="E135" s="5">
        <f t="shared" si="2"/>
        <v>40909</v>
      </c>
      <c r="F135">
        <v>2012</v>
      </c>
      <c r="G135">
        <v>48.637999999999998</v>
      </c>
      <c r="H135">
        <v>33</v>
      </c>
      <c r="I135">
        <v>200.00000298023201</v>
      </c>
      <c r="J135">
        <v>3.9402041400000001</v>
      </c>
      <c r="K135">
        <v>1.98034727573395</v>
      </c>
      <c r="L135">
        <v>5.5460000038146999</v>
      </c>
      <c r="M135" t="s">
        <v>56</v>
      </c>
      <c r="N135">
        <v>16.417483069999999</v>
      </c>
      <c r="O135">
        <v>368406.98</v>
      </c>
      <c r="P135">
        <v>3538256.66</v>
      </c>
      <c r="Q135">
        <v>930466.58</v>
      </c>
    </row>
    <row r="136" spans="1:17" x14ac:dyDescent="0.3">
      <c r="A136" t="s">
        <v>22</v>
      </c>
      <c r="B136" t="s">
        <v>80</v>
      </c>
      <c r="C136" t="s">
        <v>20</v>
      </c>
      <c r="D136" t="s">
        <v>59</v>
      </c>
      <c r="E136" s="5">
        <f t="shared" si="2"/>
        <v>40909</v>
      </c>
      <c r="F136">
        <v>2012</v>
      </c>
      <c r="G136">
        <v>63.280999999999999</v>
      </c>
      <c r="H136">
        <v>19.399999999999999</v>
      </c>
      <c r="I136">
        <v>8479.9995422363299</v>
      </c>
      <c r="J136">
        <v>4.5395960799999999</v>
      </c>
      <c r="K136">
        <v>5.5667800903320304</v>
      </c>
      <c r="L136">
        <v>2.2869999408721902</v>
      </c>
      <c r="M136" t="s">
        <v>54</v>
      </c>
      <c r="N136">
        <v>5.0054767230000001</v>
      </c>
      <c r="O136">
        <v>2822539.39</v>
      </c>
      <c r="P136">
        <v>28896006.079999998</v>
      </c>
      <c r="Q136">
        <v>11433835.449999999</v>
      </c>
    </row>
    <row r="137" spans="1:17" x14ac:dyDescent="0.3">
      <c r="A137" t="s">
        <v>9</v>
      </c>
      <c r="B137" t="s">
        <v>62</v>
      </c>
      <c r="C137" t="s">
        <v>16</v>
      </c>
      <c r="D137" t="s">
        <v>53</v>
      </c>
      <c r="E137" s="5">
        <f t="shared" si="2"/>
        <v>40909</v>
      </c>
      <c r="F137">
        <v>2012</v>
      </c>
      <c r="G137">
        <v>72.096999999999994</v>
      </c>
      <c r="H137">
        <v>7.8</v>
      </c>
      <c r="I137">
        <v>7190.0000572204599</v>
      </c>
      <c r="J137">
        <v>8.0471591900000004</v>
      </c>
      <c r="K137">
        <v>1.90610003471375</v>
      </c>
      <c r="L137">
        <v>19.649999618530298</v>
      </c>
      <c r="M137" t="s">
        <v>63</v>
      </c>
      <c r="N137">
        <v>39.412620019999999</v>
      </c>
      <c r="O137">
        <v>149763.54</v>
      </c>
      <c r="P137">
        <v>123804.5</v>
      </c>
      <c r="Q137">
        <v>1294070.7</v>
      </c>
    </row>
    <row r="138" spans="1:17" x14ac:dyDescent="0.3">
      <c r="A138" t="s">
        <v>23</v>
      </c>
      <c r="B138" t="s">
        <v>64</v>
      </c>
      <c r="C138" t="s">
        <v>20</v>
      </c>
      <c r="D138" t="s">
        <v>61</v>
      </c>
      <c r="E138" s="5">
        <f t="shared" si="2"/>
        <v>40909</v>
      </c>
      <c r="F138">
        <v>2012</v>
      </c>
      <c r="G138">
        <v>61.72</v>
      </c>
      <c r="H138">
        <v>6.4</v>
      </c>
      <c r="I138">
        <v>14609.999656677201</v>
      </c>
      <c r="J138">
        <v>4.0321440700000002</v>
      </c>
      <c r="K138">
        <v>7.9191398620605504</v>
      </c>
      <c r="L138">
        <v>5.9109997749328604</v>
      </c>
      <c r="M138" t="s">
        <v>81</v>
      </c>
      <c r="N138">
        <v>9.5862056560000006</v>
      </c>
      <c r="O138">
        <v>767848.3</v>
      </c>
      <c r="P138">
        <v>7806557.5899999999</v>
      </c>
      <c r="Q138">
        <v>4227053.4800000004</v>
      </c>
    </row>
    <row r="139" spans="1:17" x14ac:dyDescent="0.3">
      <c r="A139" t="s">
        <v>32</v>
      </c>
      <c r="B139" t="s">
        <v>65</v>
      </c>
      <c r="C139" t="s">
        <v>19</v>
      </c>
      <c r="D139" t="s">
        <v>61</v>
      </c>
      <c r="E139" s="5">
        <f t="shared" si="2"/>
        <v>40909</v>
      </c>
      <c r="F139">
        <v>2012</v>
      </c>
      <c r="G139">
        <v>67.545000000000002</v>
      </c>
      <c r="H139">
        <v>14.9</v>
      </c>
      <c r="I139">
        <v>1909439.94140625</v>
      </c>
      <c r="J139">
        <v>3.3293530900000001</v>
      </c>
      <c r="K139">
        <v>3.8675000667571999</v>
      </c>
      <c r="L139">
        <v>5.4140000343322798</v>
      </c>
      <c r="M139" t="s">
        <v>63</v>
      </c>
      <c r="N139">
        <v>29.48719818</v>
      </c>
      <c r="O139">
        <v>55112092.700000003</v>
      </c>
      <c r="P139">
        <v>195404051.69999999</v>
      </c>
      <c r="Q139">
        <v>238189861.19999999</v>
      </c>
    </row>
    <row r="140" spans="1:17" x14ac:dyDescent="0.3">
      <c r="A140" t="s">
        <v>33</v>
      </c>
      <c r="B140" t="s">
        <v>87</v>
      </c>
      <c r="C140" t="s">
        <v>15</v>
      </c>
      <c r="D140" t="s">
        <v>61</v>
      </c>
      <c r="E140" s="5">
        <f t="shared" si="2"/>
        <v>40909</v>
      </c>
      <c r="F140">
        <v>2012</v>
      </c>
      <c r="G140">
        <v>66.381</v>
      </c>
      <c r="H140">
        <v>3.3</v>
      </c>
      <c r="I140">
        <v>59.9999986588955</v>
      </c>
      <c r="J140">
        <v>8.5984239599999999</v>
      </c>
      <c r="K140">
        <v>13.3843803405762</v>
      </c>
      <c r="M140" t="s">
        <v>63</v>
      </c>
      <c r="N140">
        <v>23.654454900000001</v>
      </c>
      <c r="O140">
        <v>4650.51</v>
      </c>
      <c r="P140">
        <v>18040.54</v>
      </c>
      <c r="Q140">
        <v>33009.040000000001</v>
      </c>
    </row>
    <row r="141" spans="1:17" x14ac:dyDescent="0.3">
      <c r="A141" t="s">
        <v>66</v>
      </c>
      <c r="B141" t="s">
        <v>67</v>
      </c>
      <c r="C141" t="s">
        <v>20</v>
      </c>
      <c r="D141" t="s">
        <v>61</v>
      </c>
      <c r="E141" s="5">
        <f t="shared" si="2"/>
        <v>40909</v>
      </c>
      <c r="F141">
        <v>2012</v>
      </c>
      <c r="G141">
        <v>47.415999999999997</v>
      </c>
      <c r="H141">
        <v>14.8</v>
      </c>
      <c r="I141">
        <v>620.00000476837204</v>
      </c>
      <c r="J141">
        <v>9.2528152499999994</v>
      </c>
      <c r="K141">
        <v>7.6660599708557102</v>
      </c>
      <c r="L141">
        <v>25.3689994812012</v>
      </c>
      <c r="M141" t="s">
        <v>63</v>
      </c>
      <c r="N141">
        <v>32.557800710000002</v>
      </c>
      <c r="O141">
        <v>168314.52</v>
      </c>
      <c r="P141">
        <v>1241929.83</v>
      </c>
      <c r="Q141">
        <v>432016.17</v>
      </c>
    </row>
    <row r="142" spans="1:17" x14ac:dyDescent="0.3">
      <c r="A142" t="s">
        <v>24</v>
      </c>
      <c r="B142" t="s">
        <v>68</v>
      </c>
      <c r="C142" t="s">
        <v>20</v>
      </c>
      <c r="D142" t="s">
        <v>59</v>
      </c>
      <c r="E142" s="5">
        <f t="shared" si="2"/>
        <v>40909</v>
      </c>
      <c r="F142">
        <v>2012</v>
      </c>
      <c r="G142">
        <v>64.28</v>
      </c>
      <c r="H142">
        <v>29.4</v>
      </c>
      <c r="I142">
        <v>2740.00000953674</v>
      </c>
      <c r="J142">
        <v>3.8224973699999998</v>
      </c>
      <c r="K142">
        <v>2.34067010879517</v>
      </c>
      <c r="L142">
        <v>0.60000002384185802</v>
      </c>
      <c r="M142" t="s">
        <v>56</v>
      </c>
      <c r="N142">
        <v>7.7315952389999998</v>
      </c>
      <c r="O142">
        <v>554903.03</v>
      </c>
      <c r="P142">
        <v>6906885.9100000001</v>
      </c>
      <c r="Q142">
        <v>3444239.82</v>
      </c>
    </row>
    <row r="143" spans="1:17" x14ac:dyDescent="0.3">
      <c r="A143" t="s">
        <v>25</v>
      </c>
      <c r="B143" t="s">
        <v>69</v>
      </c>
      <c r="C143" t="s">
        <v>20</v>
      </c>
      <c r="D143" t="s">
        <v>59</v>
      </c>
      <c r="E143" s="5">
        <f t="shared" si="2"/>
        <v>40909</v>
      </c>
      <c r="F143">
        <v>2012</v>
      </c>
      <c r="G143">
        <v>56.134999999999998</v>
      </c>
      <c r="H143">
        <v>3.9</v>
      </c>
      <c r="I143">
        <v>3109.9998950958302</v>
      </c>
      <c r="J143">
        <v>3.7521615000000001</v>
      </c>
      <c r="K143">
        <v>3.4794900417327899</v>
      </c>
      <c r="L143">
        <v>6.6500000953674299</v>
      </c>
      <c r="M143" t="s">
        <v>54</v>
      </c>
      <c r="N143">
        <v>14.267680349999999</v>
      </c>
      <c r="O143">
        <v>670394.26</v>
      </c>
      <c r="P143">
        <v>10357571.279999999</v>
      </c>
      <c r="Q143">
        <v>2733586.8</v>
      </c>
    </row>
    <row r="144" spans="1:17" x14ac:dyDescent="0.3">
      <c r="A144" t="s">
        <v>11</v>
      </c>
      <c r="B144" t="s">
        <v>82</v>
      </c>
      <c r="C144" t="s">
        <v>15</v>
      </c>
      <c r="D144" t="s">
        <v>61</v>
      </c>
      <c r="E144" s="5">
        <f t="shared" si="2"/>
        <v>40909</v>
      </c>
      <c r="F144">
        <v>2012</v>
      </c>
      <c r="G144">
        <v>68.216999999999999</v>
      </c>
      <c r="H144">
        <v>12.5</v>
      </c>
      <c r="I144">
        <v>17139.999389648401</v>
      </c>
      <c r="J144">
        <v>3.8549332600000001</v>
      </c>
      <c r="K144">
        <v>5.1952099800109899</v>
      </c>
      <c r="L144">
        <v>3.9000000953674299</v>
      </c>
      <c r="M144" t="s">
        <v>63</v>
      </c>
      <c r="N144">
        <v>44.266736559999998</v>
      </c>
      <c r="O144">
        <v>173876.54</v>
      </c>
      <c r="P144">
        <v>221033.83</v>
      </c>
      <c r="Q144">
        <v>714912.91</v>
      </c>
    </row>
    <row r="145" spans="1:17" x14ac:dyDescent="0.3">
      <c r="A145" t="s">
        <v>12</v>
      </c>
      <c r="B145" t="s">
        <v>70</v>
      </c>
      <c r="C145" t="s">
        <v>19</v>
      </c>
      <c r="D145" t="s">
        <v>61</v>
      </c>
      <c r="E145" s="5">
        <f t="shared" si="2"/>
        <v>40909</v>
      </c>
      <c r="F145">
        <v>2012</v>
      </c>
      <c r="G145">
        <v>68.426000000000002</v>
      </c>
      <c r="H145">
        <v>7.7</v>
      </c>
      <c r="I145">
        <v>6000</v>
      </c>
      <c r="J145">
        <v>4.49078512</v>
      </c>
      <c r="K145">
        <v>3.2900800704956099</v>
      </c>
      <c r="L145">
        <v>2.3299999237060498</v>
      </c>
      <c r="M145" t="s">
        <v>54</v>
      </c>
      <c r="N145">
        <v>30.74644232</v>
      </c>
      <c r="O145">
        <v>841036.28</v>
      </c>
      <c r="P145">
        <v>3739562.67</v>
      </c>
      <c r="Q145">
        <v>4902448.82</v>
      </c>
    </row>
    <row r="146" spans="1:17" x14ac:dyDescent="0.3">
      <c r="A146" t="s">
        <v>27</v>
      </c>
      <c r="B146" t="s">
        <v>71</v>
      </c>
      <c r="C146" t="s">
        <v>20</v>
      </c>
      <c r="D146" t="s">
        <v>61</v>
      </c>
      <c r="E146" s="5">
        <f t="shared" si="2"/>
        <v>40909</v>
      </c>
      <c r="F146">
        <v>2012</v>
      </c>
      <c r="G146">
        <v>65.447999999999993</v>
      </c>
      <c r="H146">
        <v>11.9</v>
      </c>
      <c r="I146">
        <v>7449.9998092651404</v>
      </c>
      <c r="J146">
        <v>4.2668795599999996</v>
      </c>
      <c r="K146">
        <v>4.7769899368286097</v>
      </c>
      <c r="L146">
        <v>9.4379997253418004</v>
      </c>
      <c r="M146" t="s">
        <v>63</v>
      </c>
      <c r="N146">
        <v>18.97369368</v>
      </c>
      <c r="O146">
        <v>297815.94</v>
      </c>
      <c r="P146">
        <v>3579299.05</v>
      </c>
      <c r="Q146">
        <v>1886908.86</v>
      </c>
    </row>
    <row r="147" spans="1:17" x14ac:dyDescent="0.3">
      <c r="A147" t="s">
        <v>28</v>
      </c>
      <c r="B147" t="s">
        <v>72</v>
      </c>
      <c r="C147" t="s">
        <v>20</v>
      </c>
      <c r="D147" t="s">
        <v>59</v>
      </c>
      <c r="E147" s="5">
        <f t="shared" si="2"/>
        <v>40909</v>
      </c>
      <c r="F147">
        <v>2012</v>
      </c>
      <c r="G147">
        <v>51.018000000000001</v>
      </c>
      <c r="H147">
        <v>24.3</v>
      </c>
      <c r="I147">
        <v>860.00001430511497</v>
      </c>
      <c r="J147">
        <v>10.59041977</v>
      </c>
      <c r="K147">
        <v>2.8720400333404501</v>
      </c>
      <c r="L147">
        <v>4.3979997634887704</v>
      </c>
      <c r="M147" t="s">
        <v>54</v>
      </c>
      <c r="N147">
        <v>11.917947679999999</v>
      </c>
      <c r="O147">
        <v>271775.55</v>
      </c>
      <c r="P147">
        <v>3717277.13</v>
      </c>
      <c r="Q147">
        <v>1228975.45</v>
      </c>
    </row>
    <row r="148" spans="1:17" x14ac:dyDescent="0.3">
      <c r="A148" t="s">
        <v>26</v>
      </c>
      <c r="B148" t="s">
        <v>73</v>
      </c>
      <c r="C148" t="s">
        <v>20</v>
      </c>
      <c r="D148" t="s">
        <v>61</v>
      </c>
      <c r="E148" s="5">
        <f t="shared" si="2"/>
        <v>40909</v>
      </c>
      <c r="F148">
        <v>2012</v>
      </c>
      <c r="G148">
        <v>68.305999999999997</v>
      </c>
      <c r="H148">
        <v>13.3</v>
      </c>
      <c r="I148">
        <v>119.999997317791</v>
      </c>
      <c r="J148">
        <v>6.4762949900000004</v>
      </c>
      <c r="K148">
        <v>6.3395099639892596</v>
      </c>
      <c r="L148">
        <v>13.5900001525879</v>
      </c>
      <c r="M148" t="s">
        <v>63</v>
      </c>
      <c r="N148">
        <v>25.71140334</v>
      </c>
      <c r="O148">
        <v>3597.16</v>
      </c>
      <c r="P148">
        <v>24466.1</v>
      </c>
      <c r="Q148">
        <v>27950.51</v>
      </c>
    </row>
    <row r="149" spans="1:17" x14ac:dyDescent="0.3">
      <c r="A149" t="s">
        <v>74</v>
      </c>
      <c r="B149" t="s">
        <v>75</v>
      </c>
      <c r="C149" t="s">
        <v>20</v>
      </c>
      <c r="D149" t="s">
        <v>59</v>
      </c>
      <c r="E149" s="5">
        <f t="shared" si="2"/>
        <v>40909</v>
      </c>
      <c r="F149">
        <v>2012</v>
      </c>
      <c r="G149">
        <v>51.927999999999997</v>
      </c>
      <c r="H149">
        <v>25.4</v>
      </c>
      <c r="I149">
        <v>1860.00001430511</v>
      </c>
      <c r="J149">
        <v>3.85607743</v>
      </c>
      <c r="K149">
        <v>2.2061500549316402</v>
      </c>
      <c r="L149">
        <v>1.0060000419616699</v>
      </c>
      <c r="M149" t="s">
        <v>76</v>
      </c>
      <c r="N149">
        <v>9.0472802849999994</v>
      </c>
      <c r="O149">
        <v>516302.81</v>
      </c>
      <c r="P149">
        <v>8341857.3700000001</v>
      </c>
      <c r="Q149">
        <v>2012701.21</v>
      </c>
    </row>
    <row r="150" spans="1:17" x14ac:dyDescent="0.3">
      <c r="A150" t="s">
        <v>30</v>
      </c>
      <c r="B150" t="s">
        <v>77</v>
      </c>
      <c r="C150" t="s">
        <v>20</v>
      </c>
      <c r="D150" t="s">
        <v>59</v>
      </c>
      <c r="E150" s="5">
        <f t="shared" si="2"/>
        <v>40909</v>
      </c>
      <c r="F150">
        <v>2012</v>
      </c>
      <c r="G150">
        <v>58.661000000000001</v>
      </c>
      <c r="H150">
        <v>19.399999999999999</v>
      </c>
      <c r="I150">
        <v>2240.00000953674</v>
      </c>
      <c r="J150">
        <v>4.8078656200000003</v>
      </c>
      <c r="K150">
        <v>4.7192001342773402</v>
      </c>
      <c r="L150">
        <v>2.0339999198913601</v>
      </c>
      <c r="M150" t="s">
        <v>56</v>
      </c>
      <c r="N150">
        <v>7.7420556439999997</v>
      </c>
      <c r="O150">
        <v>230228.19</v>
      </c>
      <c r="P150">
        <v>2624143.0299999998</v>
      </c>
      <c r="Q150">
        <v>1011255.29</v>
      </c>
    </row>
    <row r="151" spans="1:17" x14ac:dyDescent="0.3">
      <c r="A151" t="s">
        <v>29</v>
      </c>
      <c r="B151" t="s">
        <v>78</v>
      </c>
      <c r="C151" t="s">
        <v>20</v>
      </c>
      <c r="D151" t="s">
        <v>61</v>
      </c>
      <c r="E151" s="5">
        <f t="shared" si="2"/>
        <v>40909</v>
      </c>
      <c r="F151">
        <v>2012</v>
      </c>
      <c r="G151">
        <v>60.47</v>
      </c>
      <c r="H151">
        <v>23.2</v>
      </c>
      <c r="I151">
        <v>9869.9998855590802</v>
      </c>
      <c r="J151">
        <v>5.0177936599999997</v>
      </c>
      <c r="K151">
        <v>3.4709300994872998</v>
      </c>
      <c r="L151">
        <v>3.2279999256134002</v>
      </c>
      <c r="M151" t="s">
        <v>54</v>
      </c>
      <c r="N151">
        <v>18.99554088</v>
      </c>
      <c r="O151">
        <v>1393313.64</v>
      </c>
      <c r="P151">
        <v>16794202.079999998</v>
      </c>
      <c r="Q151">
        <v>7477715.3099999996</v>
      </c>
    </row>
    <row r="152" spans="1:17" x14ac:dyDescent="0.3">
      <c r="A152" t="s">
        <v>13</v>
      </c>
      <c r="B152" t="s">
        <v>83</v>
      </c>
      <c r="C152" t="s">
        <v>15</v>
      </c>
      <c r="D152" t="s">
        <v>61</v>
      </c>
      <c r="E152" s="5">
        <f t="shared" si="2"/>
        <v>40909</v>
      </c>
      <c r="F152">
        <v>2012</v>
      </c>
      <c r="G152">
        <v>72.135999999999996</v>
      </c>
      <c r="H152">
        <v>4</v>
      </c>
      <c r="I152">
        <v>200.00000298023201</v>
      </c>
      <c r="J152">
        <v>5.0794401200000001</v>
      </c>
      <c r="K152">
        <v>5.1599998474121103</v>
      </c>
      <c r="L152">
        <v>8.75</v>
      </c>
      <c r="M152" t="s">
        <v>81</v>
      </c>
      <c r="N152">
        <v>48.064931289999997</v>
      </c>
      <c r="O152">
        <v>6966.62</v>
      </c>
      <c r="P152">
        <v>8680.42</v>
      </c>
      <c r="Q152">
        <v>39794.949999999997</v>
      </c>
    </row>
    <row r="153" spans="1:17" x14ac:dyDescent="0.3">
      <c r="A153" t="s">
        <v>5</v>
      </c>
      <c r="B153" t="s">
        <v>55</v>
      </c>
      <c r="C153" t="s">
        <v>16</v>
      </c>
      <c r="D153" t="s">
        <v>53</v>
      </c>
      <c r="E153" s="5">
        <f t="shared" si="2"/>
        <v>41275</v>
      </c>
      <c r="F153">
        <v>2013</v>
      </c>
      <c r="G153">
        <v>74.055999999999997</v>
      </c>
      <c r="H153">
        <v>3.2</v>
      </c>
      <c r="I153">
        <v>5500</v>
      </c>
      <c r="J153">
        <v>10.323445319999999</v>
      </c>
      <c r="K153">
        <v>2.6501801013946502</v>
      </c>
      <c r="L153">
        <v>16.180000305175799</v>
      </c>
      <c r="M153" t="s">
        <v>63</v>
      </c>
      <c r="N153">
        <v>58.46433021</v>
      </c>
      <c r="O153">
        <v>82888.240000000005</v>
      </c>
      <c r="P153">
        <v>79985.070000000007</v>
      </c>
      <c r="Q153">
        <v>769111.51</v>
      </c>
    </row>
    <row r="154" spans="1:17" x14ac:dyDescent="0.3">
      <c r="A154" t="s">
        <v>7</v>
      </c>
      <c r="B154" t="s">
        <v>79</v>
      </c>
      <c r="C154" t="s">
        <v>19</v>
      </c>
      <c r="D154" t="s">
        <v>61</v>
      </c>
      <c r="E154" s="5">
        <f t="shared" si="2"/>
        <v>41275</v>
      </c>
      <c r="F154">
        <v>2013</v>
      </c>
      <c r="G154">
        <v>70.930000000000007</v>
      </c>
      <c r="H154">
        <v>15</v>
      </c>
      <c r="I154">
        <v>60599.998474121101</v>
      </c>
      <c r="J154">
        <v>2.6544685399999999</v>
      </c>
      <c r="K154">
        <v>1.9661600589752199</v>
      </c>
      <c r="L154">
        <v>4.4299998283386204</v>
      </c>
      <c r="M154" t="s">
        <v>56</v>
      </c>
      <c r="N154">
        <v>31.579501619999998</v>
      </c>
      <c r="O154">
        <v>3502632.64</v>
      </c>
      <c r="P154">
        <v>15514496.01</v>
      </c>
      <c r="Q154">
        <v>24678300.550000001</v>
      </c>
    </row>
    <row r="155" spans="1:17" x14ac:dyDescent="0.3">
      <c r="A155" t="s">
        <v>8</v>
      </c>
      <c r="B155" t="s">
        <v>84</v>
      </c>
      <c r="C155" t="s">
        <v>17</v>
      </c>
      <c r="D155" t="s">
        <v>61</v>
      </c>
      <c r="E155" s="5">
        <f t="shared" si="2"/>
        <v>41275</v>
      </c>
      <c r="F155">
        <v>2013</v>
      </c>
      <c r="G155">
        <v>69.468000000000004</v>
      </c>
      <c r="H155">
        <v>16.5</v>
      </c>
      <c r="I155">
        <v>18739.9997711182</v>
      </c>
      <c r="J155">
        <v>5.5746512399999997</v>
      </c>
      <c r="K155">
        <v>7.5799999237060502</v>
      </c>
      <c r="L155">
        <v>2.4400000572204599</v>
      </c>
      <c r="M155" t="s">
        <v>63</v>
      </c>
      <c r="N155">
        <v>42.817896349999998</v>
      </c>
      <c r="O155">
        <v>391072.36</v>
      </c>
      <c r="P155">
        <v>1188492.0900000001</v>
      </c>
      <c r="Q155">
        <v>2000513.57</v>
      </c>
    </row>
    <row r="156" spans="1:17" x14ac:dyDescent="0.3">
      <c r="A156" t="s">
        <v>21</v>
      </c>
      <c r="B156" t="s">
        <v>58</v>
      </c>
      <c r="C156" t="s">
        <v>20</v>
      </c>
      <c r="D156" t="s">
        <v>59</v>
      </c>
      <c r="E156" s="5">
        <f t="shared" si="2"/>
        <v>41275</v>
      </c>
      <c r="F156">
        <v>2013</v>
      </c>
      <c r="G156">
        <v>49.371000000000002</v>
      </c>
      <c r="H156">
        <v>40.200000000000003</v>
      </c>
      <c r="I156">
        <v>119.999997317791</v>
      </c>
      <c r="J156">
        <v>4.9516248699999998</v>
      </c>
      <c r="K156">
        <v>2.6382143497467001</v>
      </c>
      <c r="L156">
        <v>5.5159997940063503</v>
      </c>
      <c r="M156" t="s">
        <v>56</v>
      </c>
      <c r="N156">
        <v>16.054544400000001</v>
      </c>
      <c r="O156">
        <v>673263.38</v>
      </c>
      <c r="P156">
        <v>3487458.4</v>
      </c>
      <c r="Q156">
        <v>935570.39</v>
      </c>
    </row>
    <row r="157" spans="1:17" x14ac:dyDescent="0.3">
      <c r="A157" t="s">
        <v>22</v>
      </c>
      <c r="B157" t="s">
        <v>80</v>
      </c>
      <c r="C157" t="s">
        <v>20</v>
      </c>
      <c r="D157" t="s">
        <v>59</v>
      </c>
      <c r="E157" s="5">
        <f t="shared" si="2"/>
        <v>41275</v>
      </c>
      <c r="F157">
        <v>2013</v>
      </c>
      <c r="G157">
        <v>63.960999999999999</v>
      </c>
      <c r="H157">
        <v>17.7</v>
      </c>
      <c r="I157">
        <v>10079.9999237061</v>
      </c>
      <c r="J157">
        <v>4.0750651400000004</v>
      </c>
      <c r="K157">
        <v>4.4985499382018999</v>
      </c>
      <c r="L157">
        <v>2.25</v>
      </c>
      <c r="M157" t="s">
        <v>54</v>
      </c>
      <c r="N157">
        <v>5.2246500070000002</v>
      </c>
      <c r="O157">
        <v>2729926.96</v>
      </c>
      <c r="P157">
        <v>27856067.800000001</v>
      </c>
      <c r="Q157">
        <v>11553683.41</v>
      </c>
    </row>
    <row r="158" spans="1:17" x14ac:dyDescent="0.3">
      <c r="A158" t="s">
        <v>9</v>
      </c>
      <c r="B158" t="s">
        <v>62</v>
      </c>
      <c r="C158" t="s">
        <v>16</v>
      </c>
      <c r="D158" t="s">
        <v>53</v>
      </c>
      <c r="E158" s="5">
        <f t="shared" si="2"/>
        <v>41275</v>
      </c>
      <c r="F158">
        <v>2013</v>
      </c>
      <c r="G158">
        <v>72.412000000000006</v>
      </c>
      <c r="H158">
        <v>7.9</v>
      </c>
      <c r="I158">
        <v>7840.0001525878897</v>
      </c>
      <c r="J158">
        <v>7.8830480600000001</v>
      </c>
      <c r="K158">
        <v>2.8867199420928999</v>
      </c>
      <c r="L158">
        <v>19.420000076293899</v>
      </c>
      <c r="M158" t="s">
        <v>63</v>
      </c>
      <c r="N158">
        <v>38.687069800000003</v>
      </c>
      <c r="O158">
        <v>146181.92000000001</v>
      </c>
      <c r="P158">
        <v>117587.8</v>
      </c>
      <c r="Q158">
        <v>1259026.94</v>
      </c>
    </row>
    <row r="159" spans="1:17" x14ac:dyDescent="0.3">
      <c r="A159" t="s">
        <v>23</v>
      </c>
      <c r="B159" t="s">
        <v>64</v>
      </c>
      <c r="C159" t="s">
        <v>20</v>
      </c>
      <c r="D159" t="s">
        <v>61</v>
      </c>
      <c r="E159" s="5">
        <f t="shared" si="2"/>
        <v>41275</v>
      </c>
      <c r="F159">
        <v>2013</v>
      </c>
      <c r="G159">
        <v>62.064</v>
      </c>
      <c r="H159">
        <v>6.6</v>
      </c>
      <c r="I159">
        <v>15630.0001144409</v>
      </c>
      <c r="J159">
        <v>4.6230053900000003</v>
      </c>
      <c r="K159">
        <v>4.5764698982238796</v>
      </c>
      <c r="L159">
        <v>6.2030000686645499</v>
      </c>
      <c r="M159" t="s">
        <v>81</v>
      </c>
      <c r="N159">
        <v>10.059366689999999</v>
      </c>
      <c r="O159">
        <v>785815.44</v>
      </c>
      <c r="P159">
        <v>7640207.1600000001</v>
      </c>
      <c r="Q159">
        <v>4330458.57</v>
      </c>
    </row>
    <row r="160" spans="1:17" x14ac:dyDescent="0.3">
      <c r="A160" t="s">
        <v>10</v>
      </c>
      <c r="B160" t="s">
        <v>85</v>
      </c>
      <c r="C160" t="s">
        <v>17</v>
      </c>
      <c r="D160" t="s">
        <v>61</v>
      </c>
      <c r="E160" s="5">
        <f t="shared" si="2"/>
        <v>41275</v>
      </c>
      <c r="F160">
        <v>2013</v>
      </c>
      <c r="G160">
        <v>74.051000000000002</v>
      </c>
      <c r="H160">
        <v>14.2</v>
      </c>
      <c r="I160">
        <v>9369.9998855590802</v>
      </c>
      <c r="J160">
        <v>8.4772300699999992</v>
      </c>
      <c r="K160">
        <v>5.8749299049377397</v>
      </c>
      <c r="L160">
        <v>5.6500000953674299</v>
      </c>
      <c r="M160" t="s">
        <v>54</v>
      </c>
      <c r="N160">
        <v>46.982114590000002</v>
      </c>
      <c r="O160">
        <v>613162.01</v>
      </c>
      <c r="P160">
        <v>471844.65</v>
      </c>
      <c r="Q160">
        <v>1490765.88</v>
      </c>
    </row>
    <row r="161" spans="1:17" x14ac:dyDescent="0.3">
      <c r="A161" t="s">
        <v>32</v>
      </c>
      <c r="B161" t="s">
        <v>65</v>
      </c>
      <c r="C161" t="s">
        <v>19</v>
      </c>
      <c r="D161" t="s">
        <v>61</v>
      </c>
      <c r="E161" s="5">
        <f t="shared" si="2"/>
        <v>41275</v>
      </c>
      <c r="F161">
        <v>2013</v>
      </c>
      <c r="G161">
        <v>67.930999999999997</v>
      </c>
      <c r="H161">
        <v>14.9</v>
      </c>
      <c r="I161">
        <v>1972430.0537109401</v>
      </c>
      <c r="J161">
        <v>3.7494416199999998</v>
      </c>
      <c r="K161">
        <v>3.8446700572967498</v>
      </c>
      <c r="L161">
        <v>5.4239997863769496</v>
      </c>
      <c r="M161" t="s">
        <v>63</v>
      </c>
      <c r="N161">
        <v>31.55352208</v>
      </c>
      <c r="O161">
        <v>53868774.939999998</v>
      </c>
      <c r="P161">
        <v>187804148.69999999</v>
      </c>
      <c r="Q161">
        <v>242690488.59999999</v>
      </c>
    </row>
    <row r="162" spans="1:17" x14ac:dyDescent="0.3">
      <c r="A162" t="s">
        <v>33</v>
      </c>
      <c r="B162" t="s">
        <v>87</v>
      </c>
      <c r="C162" t="s">
        <v>15</v>
      </c>
      <c r="D162" t="s">
        <v>61</v>
      </c>
      <c r="E162" s="5">
        <f t="shared" si="2"/>
        <v>41275</v>
      </c>
      <c r="F162">
        <v>2013</v>
      </c>
      <c r="G162">
        <v>66.69</v>
      </c>
      <c r="H162">
        <v>3.3</v>
      </c>
      <c r="I162">
        <v>59.9999986588955</v>
      </c>
      <c r="J162">
        <v>9.4600524900000007</v>
      </c>
      <c r="K162">
        <v>12.0265302658081</v>
      </c>
      <c r="M162" t="s">
        <v>63</v>
      </c>
      <c r="N162">
        <v>24.097654649999999</v>
      </c>
      <c r="O162">
        <v>4660.1499999999996</v>
      </c>
      <c r="P162">
        <v>17765.39</v>
      </c>
      <c r="Q162">
        <v>33419.339999999997</v>
      </c>
    </row>
    <row r="163" spans="1:17" x14ac:dyDescent="0.3">
      <c r="A163" t="s">
        <v>66</v>
      </c>
      <c r="B163" t="s">
        <v>67</v>
      </c>
      <c r="C163" t="s">
        <v>20</v>
      </c>
      <c r="D163" t="s">
        <v>61</v>
      </c>
      <c r="E163" s="5">
        <f t="shared" si="2"/>
        <v>41275</v>
      </c>
      <c r="F163">
        <v>2013</v>
      </c>
      <c r="G163">
        <v>48.662999999999997</v>
      </c>
      <c r="H163">
        <v>19.3</v>
      </c>
      <c r="I163">
        <v>610.00001430511497</v>
      </c>
      <c r="J163">
        <v>9.5466814000000007</v>
      </c>
      <c r="K163">
        <v>7.2922601699829102</v>
      </c>
      <c r="L163">
        <v>24.579999923706101</v>
      </c>
      <c r="M163" t="s">
        <v>63</v>
      </c>
      <c r="N163">
        <v>34.521243040000002</v>
      </c>
      <c r="O163">
        <v>168863.73</v>
      </c>
      <c r="P163">
        <v>1252935.18</v>
      </c>
      <c r="Q163">
        <v>439624.29</v>
      </c>
    </row>
    <row r="164" spans="1:17" x14ac:dyDescent="0.3">
      <c r="A164" t="s">
        <v>24</v>
      </c>
      <c r="B164" t="s">
        <v>68</v>
      </c>
      <c r="C164" t="s">
        <v>20</v>
      </c>
      <c r="D164" t="s">
        <v>59</v>
      </c>
      <c r="E164" s="5">
        <f t="shared" si="2"/>
        <v>41275</v>
      </c>
      <c r="F164">
        <v>2013</v>
      </c>
      <c r="G164">
        <v>64.712999999999994</v>
      </c>
      <c r="H164">
        <v>33</v>
      </c>
      <c r="I164">
        <v>2930.0000667571999</v>
      </c>
      <c r="J164">
        <v>3.7389683699999998</v>
      </c>
      <c r="K164">
        <v>1.7769399881362899</v>
      </c>
      <c r="L164">
        <v>0.99500000476837203</v>
      </c>
      <c r="M164" t="s">
        <v>76</v>
      </c>
      <c r="N164">
        <v>8.0723300140000003</v>
      </c>
      <c r="O164">
        <v>557501</v>
      </c>
      <c r="P164">
        <v>6833119.9800000004</v>
      </c>
      <c r="Q164">
        <v>3509795.74</v>
      </c>
    </row>
    <row r="165" spans="1:17" x14ac:dyDescent="0.3">
      <c r="A165" t="s">
        <v>25</v>
      </c>
      <c r="B165" t="s">
        <v>69</v>
      </c>
      <c r="C165" t="s">
        <v>20</v>
      </c>
      <c r="D165" t="s">
        <v>59</v>
      </c>
      <c r="E165" s="5">
        <f t="shared" si="2"/>
        <v>41275</v>
      </c>
      <c r="F165">
        <v>2013</v>
      </c>
      <c r="G165">
        <v>56.578000000000003</v>
      </c>
      <c r="H165">
        <v>3.7</v>
      </c>
      <c r="I165">
        <v>3220.0000286102299</v>
      </c>
      <c r="J165">
        <v>3.9675071200000001</v>
      </c>
      <c r="K165">
        <v>3.28465008735657</v>
      </c>
      <c r="L165">
        <v>6.3499999046325701</v>
      </c>
      <c r="M165" t="s">
        <v>54</v>
      </c>
      <c r="N165">
        <v>14.97708308</v>
      </c>
      <c r="O165">
        <v>730859.94</v>
      </c>
      <c r="P165">
        <v>10595151</v>
      </c>
      <c r="Q165">
        <v>2800653.79</v>
      </c>
    </row>
    <row r="166" spans="1:17" x14ac:dyDescent="0.3">
      <c r="A166" t="s">
        <v>35</v>
      </c>
      <c r="B166" t="s">
        <v>88</v>
      </c>
      <c r="C166" t="s">
        <v>15</v>
      </c>
      <c r="D166" t="s">
        <v>61</v>
      </c>
      <c r="E166" s="5">
        <f t="shared" si="2"/>
        <v>41275</v>
      </c>
      <c r="F166">
        <v>2013</v>
      </c>
      <c r="G166">
        <v>64.921000000000006</v>
      </c>
      <c r="H166">
        <v>6.1</v>
      </c>
      <c r="I166">
        <v>13600.000381469699</v>
      </c>
      <c r="J166">
        <v>3.2007157799999999</v>
      </c>
      <c r="K166">
        <v>2.0999999046325701</v>
      </c>
      <c r="L166">
        <v>0.74699997901916504</v>
      </c>
      <c r="M166" t="s">
        <v>56</v>
      </c>
      <c r="N166">
        <v>60.979430739999998</v>
      </c>
      <c r="O166">
        <v>1932768.39</v>
      </c>
      <c r="P166">
        <v>7240966.7000000002</v>
      </c>
      <c r="Q166">
        <v>11963331.35</v>
      </c>
    </row>
    <row r="167" spans="1:17" x14ac:dyDescent="0.3">
      <c r="A167" t="s">
        <v>11</v>
      </c>
      <c r="B167" t="s">
        <v>82</v>
      </c>
      <c r="C167" t="s">
        <v>15</v>
      </c>
      <c r="D167" t="s">
        <v>61</v>
      </c>
      <c r="E167" s="5">
        <f t="shared" si="2"/>
        <v>41275</v>
      </c>
      <c r="F167">
        <v>2013</v>
      </c>
      <c r="G167">
        <v>68.566000000000003</v>
      </c>
      <c r="H167">
        <v>11.4</v>
      </c>
      <c r="I167">
        <v>18379.999160766602</v>
      </c>
      <c r="J167">
        <v>4.0661606800000003</v>
      </c>
      <c r="K167">
        <v>4.9407701492309597</v>
      </c>
      <c r="L167">
        <v>4.2300000190734899</v>
      </c>
      <c r="M167" t="s">
        <v>63</v>
      </c>
      <c r="N167">
        <v>45.672786510000002</v>
      </c>
      <c r="O167">
        <v>173565.48</v>
      </c>
      <c r="P167">
        <v>215230.16</v>
      </c>
      <c r="Q167">
        <v>721723.81</v>
      </c>
    </row>
    <row r="168" spans="1:17" x14ac:dyDescent="0.3">
      <c r="A168" t="s">
        <v>34</v>
      </c>
      <c r="B168" t="s">
        <v>86</v>
      </c>
      <c r="C168" t="s">
        <v>20</v>
      </c>
      <c r="D168" t="s">
        <v>59</v>
      </c>
      <c r="E168" s="5">
        <f t="shared" si="2"/>
        <v>41275</v>
      </c>
      <c r="F168">
        <v>2013</v>
      </c>
      <c r="G168">
        <v>59.930999999999997</v>
      </c>
      <c r="H168">
        <v>14.8</v>
      </c>
      <c r="I168">
        <v>980.00001907348599</v>
      </c>
      <c r="J168">
        <v>11.579107280000001</v>
      </c>
      <c r="K168">
        <v>5.4161701202392596</v>
      </c>
      <c r="L168">
        <v>5.9499998092651403</v>
      </c>
      <c r="M168" t="s">
        <v>56</v>
      </c>
      <c r="N168">
        <v>22.44363817</v>
      </c>
      <c r="O168">
        <v>405779.44</v>
      </c>
      <c r="P168">
        <v>5709964.0300000003</v>
      </c>
      <c r="Q168">
        <v>2242633.92</v>
      </c>
    </row>
    <row r="169" spans="1:17" x14ac:dyDescent="0.3">
      <c r="A169" t="s">
        <v>12</v>
      </c>
      <c r="B169" t="s">
        <v>70</v>
      </c>
      <c r="C169" t="s">
        <v>19</v>
      </c>
      <c r="D169" t="s">
        <v>61</v>
      </c>
      <c r="E169" s="5">
        <f t="shared" si="2"/>
        <v>41275</v>
      </c>
      <c r="F169">
        <v>2013</v>
      </c>
      <c r="G169">
        <v>68.805999999999997</v>
      </c>
      <c r="H169">
        <v>6.8</v>
      </c>
      <c r="I169">
        <v>6090.0001525878897</v>
      </c>
      <c r="J169">
        <v>4.6301178900000002</v>
      </c>
      <c r="K169">
        <v>3.01811003684998</v>
      </c>
      <c r="L169">
        <v>2.5510001182556201</v>
      </c>
      <c r="M169" t="s">
        <v>54</v>
      </c>
      <c r="N169">
        <v>32.745748659999997</v>
      </c>
      <c r="O169">
        <v>859305.23</v>
      </c>
      <c r="P169">
        <v>3538986.78</v>
      </c>
      <c r="Q169">
        <v>5031592.92</v>
      </c>
    </row>
    <row r="170" spans="1:17" x14ac:dyDescent="0.3">
      <c r="A170" t="s">
        <v>27</v>
      </c>
      <c r="B170" t="s">
        <v>71</v>
      </c>
      <c r="C170" t="s">
        <v>20</v>
      </c>
      <c r="D170" t="s">
        <v>61</v>
      </c>
      <c r="E170" s="5">
        <f t="shared" si="2"/>
        <v>41275</v>
      </c>
      <c r="F170">
        <v>2013</v>
      </c>
      <c r="G170">
        <v>65.938999999999993</v>
      </c>
      <c r="H170">
        <v>12</v>
      </c>
      <c r="I170">
        <v>8010.0002288818396</v>
      </c>
      <c r="J170">
        <v>4.38575172</v>
      </c>
      <c r="K170">
        <v>5.6865601539611799</v>
      </c>
      <c r="L170">
        <v>8.5780000686645508</v>
      </c>
      <c r="M170" t="s">
        <v>63</v>
      </c>
      <c r="N170">
        <v>19.634119550000001</v>
      </c>
      <c r="O170">
        <v>305516.48</v>
      </c>
      <c r="P170">
        <v>3473914.77</v>
      </c>
      <c r="Q170">
        <v>1943531.97</v>
      </c>
    </row>
    <row r="171" spans="1:17" x14ac:dyDescent="0.3">
      <c r="A171" t="s">
        <v>28</v>
      </c>
      <c r="B171" t="s">
        <v>72</v>
      </c>
      <c r="C171" t="s">
        <v>20</v>
      </c>
      <c r="D171" t="s">
        <v>59</v>
      </c>
      <c r="E171" s="5">
        <f t="shared" si="2"/>
        <v>41275</v>
      </c>
      <c r="F171">
        <v>2013</v>
      </c>
      <c r="G171">
        <v>51.731000000000002</v>
      </c>
      <c r="H171">
        <v>25.4</v>
      </c>
      <c r="I171">
        <v>1039.9999618530301</v>
      </c>
      <c r="J171">
        <v>11.56772041</v>
      </c>
      <c r="K171">
        <v>2.37981009483337</v>
      </c>
      <c r="L171">
        <v>4.5100002288818404</v>
      </c>
      <c r="M171" t="s">
        <v>54</v>
      </c>
      <c r="N171">
        <v>12.18336482</v>
      </c>
      <c r="O171">
        <v>278524.58</v>
      </c>
      <c r="P171">
        <v>3559689.4</v>
      </c>
      <c r="Q171">
        <v>1253119.6000000001</v>
      </c>
    </row>
    <row r="172" spans="1:17" x14ac:dyDescent="0.3">
      <c r="A172" t="s">
        <v>26</v>
      </c>
      <c r="B172" t="s">
        <v>73</v>
      </c>
      <c r="C172" t="s">
        <v>20</v>
      </c>
      <c r="D172" t="s">
        <v>61</v>
      </c>
      <c r="E172" s="5">
        <f t="shared" si="2"/>
        <v>41275</v>
      </c>
      <c r="F172">
        <v>2013</v>
      </c>
      <c r="G172">
        <v>68.694999999999993</v>
      </c>
      <c r="H172">
        <v>12.9</v>
      </c>
      <c r="I172">
        <v>119.999997317791</v>
      </c>
      <c r="J172">
        <v>7.9374380100000002</v>
      </c>
      <c r="K172">
        <v>5.9396901130676296</v>
      </c>
      <c r="L172">
        <v>13.649000167846699</v>
      </c>
      <c r="M172" t="s">
        <v>63</v>
      </c>
      <c r="N172">
        <v>26.823253709999999</v>
      </c>
      <c r="O172">
        <v>3761.59</v>
      </c>
      <c r="P172">
        <v>23236.75</v>
      </c>
      <c r="Q172">
        <v>28865.32</v>
      </c>
    </row>
    <row r="173" spans="1:17" x14ac:dyDescent="0.3">
      <c r="A173" t="s">
        <v>74</v>
      </c>
      <c r="B173" t="s">
        <v>75</v>
      </c>
      <c r="C173" t="s">
        <v>20</v>
      </c>
      <c r="D173" t="s">
        <v>59</v>
      </c>
      <c r="E173" s="5">
        <f t="shared" si="2"/>
        <v>41275</v>
      </c>
      <c r="F173">
        <v>2013</v>
      </c>
      <c r="G173">
        <v>52.386000000000003</v>
      </c>
      <c r="H173">
        <v>25.6</v>
      </c>
      <c r="I173">
        <v>2190.0000572204599</v>
      </c>
      <c r="J173">
        <v>4.06645155</v>
      </c>
      <c r="K173">
        <v>2.8507099151611301</v>
      </c>
      <c r="L173">
        <v>1.0290000438690201</v>
      </c>
      <c r="M173" t="s">
        <v>76</v>
      </c>
      <c r="N173">
        <v>9.1389900940000004</v>
      </c>
      <c r="O173">
        <v>535850.59</v>
      </c>
      <c r="P173">
        <v>8348645.1200000001</v>
      </c>
      <c r="Q173">
        <v>2074392.68</v>
      </c>
    </row>
    <row r="174" spans="1:17" x14ac:dyDescent="0.3">
      <c r="A174" t="s">
        <v>30</v>
      </c>
      <c r="B174" t="s">
        <v>77</v>
      </c>
      <c r="C174" t="s">
        <v>20</v>
      </c>
      <c r="D174" t="s">
        <v>59</v>
      </c>
      <c r="E174" s="5">
        <f t="shared" si="2"/>
        <v>41275</v>
      </c>
      <c r="F174">
        <v>2013</v>
      </c>
      <c r="G174">
        <v>59.16</v>
      </c>
      <c r="H174">
        <v>19.399999999999999</v>
      </c>
      <c r="I174">
        <v>1750</v>
      </c>
      <c r="J174">
        <v>4.9437351200000004</v>
      </c>
      <c r="K174">
        <v>4.4236497879028303</v>
      </c>
      <c r="L174">
        <v>2.08899998664856</v>
      </c>
      <c r="M174" t="s">
        <v>56</v>
      </c>
      <c r="N174">
        <v>7.9344181789999997</v>
      </c>
      <c r="O174">
        <v>229444.19</v>
      </c>
      <c r="P174">
        <v>2568922.36</v>
      </c>
      <c r="Q174">
        <v>1026225.01</v>
      </c>
    </row>
    <row r="175" spans="1:17" x14ac:dyDescent="0.3">
      <c r="A175" t="s">
        <v>29</v>
      </c>
      <c r="B175" t="s">
        <v>78</v>
      </c>
      <c r="C175" t="s">
        <v>20</v>
      </c>
      <c r="D175" t="s">
        <v>61</v>
      </c>
      <c r="E175" s="5">
        <f t="shared" si="2"/>
        <v>41275</v>
      </c>
      <c r="F175">
        <v>2013</v>
      </c>
      <c r="G175">
        <v>61.398000000000003</v>
      </c>
      <c r="H175">
        <v>22.7</v>
      </c>
      <c r="I175">
        <v>10810.000419616699</v>
      </c>
      <c r="J175">
        <v>4.6464338300000003</v>
      </c>
      <c r="K175">
        <v>3.35795998573303</v>
      </c>
      <c r="L175">
        <v>2.9300000667571999</v>
      </c>
      <c r="M175" t="s">
        <v>54</v>
      </c>
      <c r="N175">
        <v>20.016745950000001</v>
      </c>
      <c r="O175">
        <v>1418615.33</v>
      </c>
      <c r="P175">
        <v>15987629.6</v>
      </c>
      <c r="Q175">
        <v>7651634.6600000001</v>
      </c>
    </row>
    <row r="176" spans="1:17" x14ac:dyDescent="0.3">
      <c r="A176" t="s">
        <v>13</v>
      </c>
      <c r="B176" t="s">
        <v>83</v>
      </c>
      <c r="C176" t="s">
        <v>15</v>
      </c>
      <c r="D176" t="s">
        <v>61</v>
      </c>
      <c r="E176" s="5">
        <f t="shared" si="2"/>
        <v>41275</v>
      </c>
      <c r="F176">
        <v>2013</v>
      </c>
      <c r="G176">
        <v>72.350999999999999</v>
      </c>
      <c r="H176">
        <v>3.7</v>
      </c>
      <c r="I176">
        <v>200.00000298023201</v>
      </c>
      <c r="J176">
        <v>6.4495720900000002</v>
      </c>
      <c r="K176">
        <v>4.6700000762939498</v>
      </c>
      <c r="L176">
        <v>8.6669998168945295</v>
      </c>
      <c r="M176" t="s">
        <v>81</v>
      </c>
      <c r="N176">
        <v>47.999408240000001</v>
      </c>
      <c r="O176">
        <v>6312.04</v>
      </c>
      <c r="P176">
        <v>8715.34</v>
      </c>
      <c r="Q176">
        <v>40239.279999999999</v>
      </c>
    </row>
    <row r="177" spans="1:17" x14ac:dyDescent="0.3">
      <c r="A177" t="s">
        <v>8</v>
      </c>
      <c r="B177" t="s">
        <v>84</v>
      </c>
      <c r="C177" t="s">
        <v>17</v>
      </c>
      <c r="D177" t="s">
        <v>61</v>
      </c>
      <c r="E177" s="5">
        <f t="shared" si="2"/>
        <v>41640</v>
      </c>
      <c r="F177">
        <v>2014</v>
      </c>
      <c r="G177">
        <v>69.891000000000005</v>
      </c>
      <c r="H177">
        <v>15.6</v>
      </c>
      <c r="I177">
        <v>20409.999847412098</v>
      </c>
      <c r="J177">
        <v>5.8961362800000003</v>
      </c>
      <c r="K177">
        <v>8.2600002288818395</v>
      </c>
      <c r="L177">
        <v>2.0199999809265101</v>
      </c>
      <c r="M177" t="s">
        <v>63</v>
      </c>
      <c r="N177">
        <v>44.208867320000003</v>
      </c>
      <c r="O177">
        <v>388997.23</v>
      </c>
      <c r="P177">
        <v>1174510.1399999999</v>
      </c>
      <c r="Q177">
        <v>2034470.93</v>
      </c>
    </row>
    <row r="178" spans="1:17" x14ac:dyDescent="0.3">
      <c r="A178" t="s">
        <v>21</v>
      </c>
      <c r="B178" t="s">
        <v>58</v>
      </c>
      <c r="C178" t="s">
        <v>20</v>
      </c>
      <c r="D178" t="s">
        <v>59</v>
      </c>
      <c r="E178" s="5">
        <f t="shared" si="2"/>
        <v>41640</v>
      </c>
      <c r="F178">
        <v>2014</v>
      </c>
      <c r="G178">
        <v>50.128999999999998</v>
      </c>
      <c r="H178">
        <v>47.9</v>
      </c>
      <c r="I178">
        <v>129.99999523162799</v>
      </c>
      <c r="J178">
        <v>4.9166021300000002</v>
      </c>
      <c r="K178">
        <v>2.22015333175659</v>
      </c>
      <c r="L178">
        <v>5.5289998054504403</v>
      </c>
      <c r="M178" t="s">
        <v>56</v>
      </c>
      <c r="N178">
        <v>15.695234299999999</v>
      </c>
      <c r="O178">
        <v>741570.76</v>
      </c>
      <c r="P178">
        <v>3412716.46</v>
      </c>
      <c r="Q178">
        <v>936532.5</v>
      </c>
    </row>
    <row r="179" spans="1:17" x14ac:dyDescent="0.3">
      <c r="A179" t="s">
        <v>22</v>
      </c>
      <c r="B179" t="s">
        <v>80</v>
      </c>
      <c r="C179" t="s">
        <v>20</v>
      </c>
      <c r="D179" t="s">
        <v>59</v>
      </c>
      <c r="E179" s="5">
        <f t="shared" si="2"/>
        <v>41640</v>
      </c>
      <c r="F179">
        <v>2014</v>
      </c>
      <c r="G179">
        <v>64.546999999999997</v>
      </c>
      <c r="H179">
        <v>15.9</v>
      </c>
      <c r="I179">
        <v>12340.0001525879</v>
      </c>
      <c r="J179">
        <v>4.0336360899999999</v>
      </c>
      <c r="K179">
        <v>4.6020197868347203</v>
      </c>
      <c r="L179">
        <v>2.2620000839233398</v>
      </c>
      <c r="M179" t="s">
        <v>54</v>
      </c>
      <c r="N179">
        <v>5.4399997070000001</v>
      </c>
      <c r="O179">
        <v>2743703.69</v>
      </c>
      <c r="P179">
        <v>26644753.5</v>
      </c>
      <c r="Q179">
        <v>11853944.35</v>
      </c>
    </row>
    <row r="180" spans="1:17" x14ac:dyDescent="0.3">
      <c r="A180" t="s">
        <v>23</v>
      </c>
      <c r="B180" t="s">
        <v>64</v>
      </c>
      <c r="C180" t="s">
        <v>20</v>
      </c>
      <c r="D180" t="s">
        <v>61</v>
      </c>
      <c r="E180" s="5">
        <f t="shared" si="2"/>
        <v>41640</v>
      </c>
      <c r="F180">
        <v>2014</v>
      </c>
      <c r="G180">
        <v>62.415999999999997</v>
      </c>
      <c r="H180">
        <v>7.1</v>
      </c>
      <c r="I180">
        <v>15090.0001525879</v>
      </c>
      <c r="J180">
        <v>4.1004481300000002</v>
      </c>
      <c r="K180">
        <v>4.3997898101806596</v>
      </c>
      <c r="L180">
        <v>6.5240001678466797</v>
      </c>
      <c r="M180" t="s">
        <v>63</v>
      </c>
      <c r="N180">
        <v>10.53152455</v>
      </c>
      <c r="O180">
        <v>813168.55</v>
      </c>
      <c r="P180">
        <v>7454029.4900000002</v>
      </c>
      <c r="Q180">
        <v>4467086.8600000003</v>
      </c>
    </row>
    <row r="181" spans="1:17" x14ac:dyDescent="0.3">
      <c r="A181" t="s">
        <v>10</v>
      </c>
      <c r="B181" t="s">
        <v>85</v>
      </c>
      <c r="C181" t="s">
        <v>17</v>
      </c>
      <c r="D181" t="s">
        <v>61</v>
      </c>
      <c r="E181" s="5">
        <f t="shared" si="2"/>
        <v>41640</v>
      </c>
      <c r="F181">
        <v>2014</v>
      </c>
      <c r="G181">
        <v>74.278000000000006</v>
      </c>
      <c r="H181">
        <v>14.6</v>
      </c>
      <c r="I181">
        <v>9460.0000381469708</v>
      </c>
      <c r="J181">
        <v>7.9145574600000002</v>
      </c>
      <c r="K181">
        <v>7.0901198387145996</v>
      </c>
      <c r="L181">
        <v>7.0799999237060502</v>
      </c>
      <c r="M181" t="s">
        <v>54</v>
      </c>
      <c r="N181">
        <v>47.369617249999997</v>
      </c>
      <c r="O181">
        <v>619290.64</v>
      </c>
      <c r="P181">
        <v>462392.77</v>
      </c>
      <c r="Q181">
        <v>1526581.72</v>
      </c>
    </row>
    <row r="182" spans="1:17" x14ac:dyDescent="0.3">
      <c r="A182" t="s">
        <v>33</v>
      </c>
      <c r="B182" t="s">
        <v>87</v>
      </c>
      <c r="C182" t="s">
        <v>15</v>
      </c>
      <c r="D182" t="s">
        <v>61</v>
      </c>
      <c r="E182" s="5">
        <f t="shared" si="2"/>
        <v>41640</v>
      </c>
      <c r="F182">
        <v>2014</v>
      </c>
      <c r="G182">
        <v>66.995000000000005</v>
      </c>
      <c r="H182">
        <v>3.2</v>
      </c>
      <c r="I182">
        <v>59.9999986588955</v>
      </c>
      <c r="J182">
        <v>9.9376888300000008</v>
      </c>
      <c r="K182">
        <v>11.2323703765869</v>
      </c>
      <c r="M182" t="s">
        <v>63</v>
      </c>
      <c r="N182">
        <v>24.52203802</v>
      </c>
      <c r="O182">
        <v>4662.08</v>
      </c>
      <c r="P182">
        <v>17595.45</v>
      </c>
      <c r="Q182">
        <v>33784.19</v>
      </c>
    </row>
    <row r="183" spans="1:17" x14ac:dyDescent="0.3">
      <c r="A183" t="s">
        <v>66</v>
      </c>
      <c r="B183" t="s">
        <v>67</v>
      </c>
      <c r="C183" t="s">
        <v>20</v>
      </c>
      <c r="D183" t="s">
        <v>61</v>
      </c>
      <c r="E183" s="5">
        <f t="shared" si="2"/>
        <v>41640</v>
      </c>
      <c r="F183">
        <v>2014</v>
      </c>
      <c r="G183">
        <v>49.890999999999998</v>
      </c>
      <c r="H183">
        <v>26.1</v>
      </c>
      <c r="I183">
        <v>610.00001430511497</v>
      </c>
      <c r="J183">
        <v>9.1744928399999992</v>
      </c>
      <c r="K183">
        <v>7.1985998153686497</v>
      </c>
      <c r="L183">
        <v>24.221000671386701</v>
      </c>
      <c r="M183" t="s">
        <v>54</v>
      </c>
      <c r="N183">
        <v>36.461856220000001</v>
      </c>
      <c r="O183">
        <v>170333.19</v>
      </c>
      <c r="P183">
        <v>1255235.49</v>
      </c>
      <c r="Q183">
        <v>445592.04</v>
      </c>
    </row>
    <row r="184" spans="1:17" x14ac:dyDescent="0.3">
      <c r="A184" t="s">
        <v>24</v>
      </c>
      <c r="B184" t="s">
        <v>68</v>
      </c>
      <c r="C184" t="s">
        <v>20</v>
      </c>
      <c r="D184" t="s">
        <v>59</v>
      </c>
      <c r="E184" s="5">
        <f t="shared" si="2"/>
        <v>41640</v>
      </c>
      <c r="F184">
        <v>2014</v>
      </c>
      <c r="G184">
        <v>65.132999999999996</v>
      </c>
      <c r="H184">
        <v>37.6</v>
      </c>
      <c r="I184">
        <v>3009.99999046326</v>
      </c>
      <c r="J184">
        <v>4.4283366199999996</v>
      </c>
      <c r="K184">
        <v>2.3812301158904998</v>
      </c>
      <c r="L184">
        <v>1.3899999856948899</v>
      </c>
      <c r="M184" t="s">
        <v>56</v>
      </c>
      <c r="N184">
        <v>8.4103053570000004</v>
      </c>
      <c r="O184">
        <v>583329.37</v>
      </c>
      <c r="P184">
        <v>6703446.7000000002</v>
      </c>
      <c r="Q184">
        <v>3594928.09</v>
      </c>
    </row>
    <row r="185" spans="1:17" x14ac:dyDescent="0.3">
      <c r="A185" t="s">
        <v>25</v>
      </c>
      <c r="B185" t="s">
        <v>69</v>
      </c>
      <c r="C185" t="s">
        <v>20</v>
      </c>
      <c r="D185" t="s">
        <v>59</v>
      </c>
      <c r="E185" s="5">
        <f t="shared" si="2"/>
        <v>41640</v>
      </c>
      <c r="F185">
        <v>2014</v>
      </c>
      <c r="G185">
        <v>57.036000000000001</v>
      </c>
      <c r="H185">
        <v>3.6</v>
      </c>
      <c r="I185">
        <v>3380.0001144409198</v>
      </c>
      <c r="J185">
        <v>4.4815630899999999</v>
      </c>
      <c r="K185">
        <v>3.6481900215148899</v>
      </c>
      <c r="L185">
        <v>6.3800001144409197</v>
      </c>
      <c r="M185" t="s">
        <v>54</v>
      </c>
      <c r="N185">
        <v>15.68827712</v>
      </c>
      <c r="O185">
        <v>691349.01</v>
      </c>
      <c r="P185">
        <v>10693305.91</v>
      </c>
      <c r="Q185">
        <v>2886516.86</v>
      </c>
    </row>
    <row r="186" spans="1:17" x14ac:dyDescent="0.3">
      <c r="A186" t="s">
        <v>35</v>
      </c>
      <c r="B186" t="s">
        <v>88</v>
      </c>
      <c r="C186" t="s">
        <v>15</v>
      </c>
      <c r="D186" t="s">
        <v>61</v>
      </c>
      <c r="E186" s="5">
        <f t="shared" si="2"/>
        <v>41640</v>
      </c>
      <c r="F186">
        <v>2014</v>
      </c>
      <c r="G186">
        <v>65.378</v>
      </c>
      <c r="H186">
        <v>5.0999999999999996</v>
      </c>
      <c r="I186">
        <v>17040.0009155273</v>
      </c>
      <c r="J186">
        <v>4.3934602700000003</v>
      </c>
      <c r="K186">
        <v>1.8999999761581401</v>
      </c>
      <c r="L186">
        <v>0.75499999523162797</v>
      </c>
      <c r="M186" t="s">
        <v>54</v>
      </c>
      <c r="N186">
        <v>60.955252649999998</v>
      </c>
      <c r="O186">
        <v>1885762.4</v>
      </c>
      <c r="P186">
        <v>6725248.7999999998</v>
      </c>
      <c r="Q186">
        <v>12053745.789999999</v>
      </c>
    </row>
    <row r="187" spans="1:17" x14ac:dyDescent="0.3">
      <c r="A187" t="s">
        <v>11</v>
      </c>
      <c r="B187" t="s">
        <v>82</v>
      </c>
      <c r="C187" t="s">
        <v>15</v>
      </c>
      <c r="D187" t="s">
        <v>61</v>
      </c>
      <c r="E187" s="5">
        <f t="shared" si="2"/>
        <v>41640</v>
      </c>
      <c r="F187">
        <v>2014</v>
      </c>
      <c r="G187">
        <v>68.863</v>
      </c>
      <c r="H187">
        <v>10.1</v>
      </c>
      <c r="I187">
        <v>18120.000839233398</v>
      </c>
      <c r="J187">
        <v>4.1765727999999998</v>
      </c>
      <c r="K187">
        <v>4.7148499488830602</v>
      </c>
      <c r="L187">
        <v>4.8000001907348597</v>
      </c>
      <c r="M187" t="s">
        <v>63</v>
      </c>
      <c r="N187">
        <v>47.098697309999999</v>
      </c>
      <c r="O187">
        <v>173743.43</v>
      </c>
      <c r="P187">
        <v>206045.66</v>
      </c>
      <c r="Q187">
        <v>729264.08</v>
      </c>
    </row>
    <row r="188" spans="1:17" x14ac:dyDescent="0.3">
      <c r="A188" t="s">
        <v>34</v>
      </c>
      <c r="B188" t="s">
        <v>86</v>
      </c>
      <c r="C188" t="s">
        <v>20</v>
      </c>
      <c r="D188" t="s">
        <v>59</v>
      </c>
      <c r="E188" s="5">
        <f t="shared" si="2"/>
        <v>41640</v>
      </c>
      <c r="F188">
        <v>2014</v>
      </c>
      <c r="G188">
        <v>61.042000000000002</v>
      </c>
      <c r="H188">
        <v>15.4</v>
      </c>
      <c r="I188">
        <v>850.00002384185802</v>
      </c>
      <c r="J188">
        <v>9.7120504400000005</v>
      </c>
      <c r="K188">
        <v>4.8398399353027299</v>
      </c>
      <c r="L188">
        <v>5.8979997634887704</v>
      </c>
      <c r="M188" t="s">
        <v>56</v>
      </c>
      <c r="N188">
        <v>22.696083869999999</v>
      </c>
      <c r="O188">
        <v>405444.72</v>
      </c>
      <c r="P188">
        <v>5453776.3600000003</v>
      </c>
      <c r="Q188">
        <v>2275648.62</v>
      </c>
    </row>
    <row r="189" spans="1:17" x14ac:dyDescent="0.3">
      <c r="A189" t="s">
        <v>12</v>
      </c>
      <c r="B189" t="s">
        <v>70</v>
      </c>
      <c r="C189" t="s">
        <v>19</v>
      </c>
      <c r="D189" t="s">
        <v>61</v>
      </c>
      <c r="E189" s="5">
        <f t="shared" si="2"/>
        <v>41640</v>
      </c>
      <c r="F189">
        <v>2014</v>
      </c>
      <c r="G189">
        <v>69.168000000000006</v>
      </c>
      <c r="H189">
        <v>6.1</v>
      </c>
      <c r="I189">
        <v>7130.0001144409198</v>
      </c>
      <c r="J189">
        <v>5.0754828500000002</v>
      </c>
      <c r="K189">
        <v>3.4721300601959202</v>
      </c>
      <c r="L189">
        <v>2.9440000057220499</v>
      </c>
      <c r="M189" t="s">
        <v>54</v>
      </c>
      <c r="N189">
        <v>34.782781880000002</v>
      </c>
      <c r="O189">
        <v>878958.61</v>
      </c>
      <c r="P189">
        <v>3377955.5</v>
      </c>
      <c r="Q189">
        <v>5133253</v>
      </c>
    </row>
    <row r="190" spans="1:17" x14ac:dyDescent="0.3">
      <c r="A190" t="s">
        <v>27</v>
      </c>
      <c r="B190" t="s">
        <v>71</v>
      </c>
      <c r="C190" t="s">
        <v>20</v>
      </c>
      <c r="D190" t="s">
        <v>61</v>
      </c>
      <c r="E190" s="5">
        <f t="shared" si="2"/>
        <v>41640</v>
      </c>
      <c r="F190">
        <v>2014</v>
      </c>
      <c r="G190">
        <v>66.37</v>
      </c>
      <c r="H190">
        <v>11.8</v>
      </c>
      <c r="I190">
        <v>8569.9996948242206</v>
      </c>
      <c r="J190">
        <v>4.3960580800000004</v>
      </c>
      <c r="K190">
        <v>5.7202100753784197</v>
      </c>
      <c r="L190">
        <v>7.6459999084472701</v>
      </c>
      <c r="M190" t="s">
        <v>63</v>
      </c>
      <c r="N190">
        <v>20.302470799999998</v>
      </c>
      <c r="O190">
        <v>328669.46000000002</v>
      </c>
      <c r="P190">
        <v>3317058.41</v>
      </c>
      <c r="Q190">
        <v>2045935.25</v>
      </c>
    </row>
    <row r="191" spans="1:17" x14ac:dyDescent="0.3">
      <c r="A191" t="s">
        <v>28</v>
      </c>
      <c r="B191" t="s">
        <v>72</v>
      </c>
      <c r="C191" t="s">
        <v>20</v>
      </c>
      <c r="D191" t="s">
        <v>59</v>
      </c>
      <c r="E191" s="5">
        <f t="shared" si="2"/>
        <v>41640</v>
      </c>
      <c r="F191">
        <v>2014</v>
      </c>
      <c r="G191">
        <v>52.372</v>
      </c>
      <c r="H191">
        <v>25</v>
      </c>
      <c r="I191">
        <v>1149.99997615814</v>
      </c>
      <c r="J191">
        <v>19.727416989999998</v>
      </c>
      <c r="K191">
        <v>2.6629199981689502</v>
      </c>
      <c r="L191">
        <v>4.6799998283386204</v>
      </c>
      <c r="M191" t="s">
        <v>54</v>
      </c>
      <c r="N191">
        <v>12.448993590000001</v>
      </c>
      <c r="O191">
        <v>281476.52</v>
      </c>
      <c r="P191">
        <v>3730231.5</v>
      </c>
      <c r="Q191">
        <v>1278082.77</v>
      </c>
    </row>
    <row r="192" spans="1:17" x14ac:dyDescent="0.3">
      <c r="A192" t="s">
        <v>26</v>
      </c>
      <c r="B192" t="s">
        <v>73</v>
      </c>
      <c r="C192" t="s">
        <v>20</v>
      </c>
      <c r="D192" t="s">
        <v>61</v>
      </c>
      <c r="E192" s="5">
        <f t="shared" si="2"/>
        <v>41640</v>
      </c>
      <c r="F192">
        <v>2014</v>
      </c>
      <c r="G192">
        <v>69.052000000000007</v>
      </c>
      <c r="H192">
        <v>13</v>
      </c>
      <c r="I192">
        <v>119.999997317791</v>
      </c>
      <c r="J192">
        <v>6.73101854</v>
      </c>
      <c r="K192">
        <v>3.7490599155425999</v>
      </c>
      <c r="L192">
        <v>13.704999923706101</v>
      </c>
      <c r="M192" t="s">
        <v>63</v>
      </c>
      <c r="N192">
        <v>27.937528319999998</v>
      </c>
      <c r="O192">
        <v>4149</v>
      </c>
      <c r="P192">
        <v>20123.09</v>
      </c>
      <c r="Q192">
        <v>30638.16</v>
      </c>
    </row>
    <row r="193" spans="1:17" x14ac:dyDescent="0.3">
      <c r="A193" t="s">
        <v>74</v>
      </c>
      <c r="B193" t="s">
        <v>75</v>
      </c>
      <c r="C193" t="s">
        <v>20</v>
      </c>
      <c r="D193" t="s">
        <v>59</v>
      </c>
      <c r="E193" s="5">
        <f t="shared" si="2"/>
        <v>41640</v>
      </c>
      <c r="F193">
        <v>2014</v>
      </c>
      <c r="G193">
        <v>52.789000000000001</v>
      </c>
      <c r="H193">
        <v>27</v>
      </c>
      <c r="I193">
        <v>2259.99999046326</v>
      </c>
      <c r="J193">
        <v>4.2731685600000002</v>
      </c>
      <c r="K193">
        <v>2.5999999046325701</v>
      </c>
      <c r="L193">
        <v>1.0460000038146999</v>
      </c>
      <c r="M193" t="s">
        <v>56</v>
      </c>
      <c r="N193">
        <v>9.2419469410000001</v>
      </c>
      <c r="O193">
        <v>543497.87</v>
      </c>
      <c r="P193">
        <v>8362977.3099999996</v>
      </c>
      <c r="Q193">
        <v>2123729.73</v>
      </c>
    </row>
    <row r="194" spans="1:17" x14ac:dyDescent="0.3">
      <c r="A194" t="s">
        <v>30</v>
      </c>
      <c r="B194" t="s">
        <v>77</v>
      </c>
      <c r="C194" t="s">
        <v>20</v>
      </c>
      <c r="D194" t="s">
        <v>59</v>
      </c>
      <c r="E194" s="5">
        <f t="shared" ref="E194:E257" si="3">DATE(F194,1,1)</f>
        <v>41640</v>
      </c>
      <c r="F194">
        <v>2014</v>
      </c>
      <c r="G194">
        <v>59.58</v>
      </c>
      <c r="H194">
        <v>20.2</v>
      </c>
      <c r="I194">
        <v>1590.0000333785999</v>
      </c>
      <c r="J194">
        <v>5.0753650700000001</v>
      </c>
      <c r="K194">
        <v>4.7845501899719203</v>
      </c>
      <c r="L194">
        <v>2.1449999809265101</v>
      </c>
      <c r="M194" t="s">
        <v>56</v>
      </c>
      <c r="N194">
        <v>8.1276514730000002</v>
      </c>
      <c r="O194">
        <v>238396.33</v>
      </c>
      <c r="P194">
        <v>2488549.27</v>
      </c>
      <c r="Q194">
        <v>1054239.77</v>
      </c>
    </row>
    <row r="195" spans="1:17" x14ac:dyDescent="0.3">
      <c r="A195" t="s">
        <v>29</v>
      </c>
      <c r="B195" t="s">
        <v>78</v>
      </c>
      <c r="C195" t="s">
        <v>20</v>
      </c>
      <c r="D195" t="s">
        <v>61</v>
      </c>
      <c r="E195" s="5">
        <f t="shared" si="3"/>
        <v>41640</v>
      </c>
      <c r="F195">
        <v>2014</v>
      </c>
      <c r="G195">
        <v>62.287999999999997</v>
      </c>
      <c r="H195">
        <v>22.5</v>
      </c>
      <c r="I195">
        <v>10710.000038147</v>
      </c>
      <c r="J195">
        <v>4.0149202300000004</v>
      </c>
      <c r="K195">
        <v>3.3848800659179701</v>
      </c>
      <c r="L195">
        <v>2.1199998855590798</v>
      </c>
      <c r="M195" t="s">
        <v>54</v>
      </c>
      <c r="N195">
        <v>21.042050920000001</v>
      </c>
      <c r="O195">
        <v>1381519.43</v>
      </c>
      <c r="P195">
        <v>15573574</v>
      </c>
      <c r="Q195">
        <v>7664356.3899999997</v>
      </c>
    </row>
    <row r="196" spans="1:17" x14ac:dyDescent="0.3">
      <c r="A196" t="s">
        <v>13</v>
      </c>
      <c r="B196" t="s">
        <v>83</v>
      </c>
      <c r="C196" t="s">
        <v>15</v>
      </c>
      <c r="D196" t="s">
        <v>61</v>
      </c>
      <c r="E196" s="5">
        <f t="shared" si="3"/>
        <v>41640</v>
      </c>
      <c r="F196">
        <v>2014</v>
      </c>
      <c r="G196">
        <v>72.549000000000007</v>
      </c>
      <c r="H196">
        <v>4.0999999999999996</v>
      </c>
      <c r="I196">
        <v>209.99999344348899</v>
      </c>
      <c r="J196">
        <v>6.60753155</v>
      </c>
      <c r="K196">
        <v>5.4099998474121103</v>
      </c>
      <c r="L196">
        <v>8.7200002670288104</v>
      </c>
      <c r="M196" t="s">
        <v>81</v>
      </c>
      <c r="N196">
        <v>47.934083299999998</v>
      </c>
      <c r="O196">
        <v>6364.5</v>
      </c>
      <c r="P196">
        <v>8774.2000000000007</v>
      </c>
      <c r="Q196">
        <v>40766.81</v>
      </c>
    </row>
    <row r="197" spans="1:17" x14ac:dyDescent="0.3">
      <c r="A197" t="s">
        <v>8</v>
      </c>
      <c r="B197" t="s">
        <v>84</v>
      </c>
      <c r="C197" t="s">
        <v>17</v>
      </c>
      <c r="D197" t="s">
        <v>61</v>
      </c>
      <c r="E197" s="5">
        <f t="shared" si="3"/>
        <v>42005</v>
      </c>
      <c r="F197">
        <v>2015</v>
      </c>
      <c r="G197">
        <v>70.277000000000001</v>
      </c>
      <c r="H197">
        <v>14.3</v>
      </c>
      <c r="I197">
        <v>20760.0002288818</v>
      </c>
      <c r="J197">
        <v>6.5506496399999996</v>
      </c>
      <c r="K197">
        <v>8.9399995803833008</v>
      </c>
      <c r="L197">
        <v>3.1099998950958301</v>
      </c>
      <c r="M197" t="s">
        <v>54</v>
      </c>
      <c r="N197">
        <v>45.617177769999998</v>
      </c>
      <c r="O197">
        <v>384525.73</v>
      </c>
      <c r="P197">
        <v>1145952.8999999999</v>
      </c>
      <c r="Q197">
        <v>2076103.12</v>
      </c>
    </row>
    <row r="198" spans="1:17" x14ac:dyDescent="0.3">
      <c r="A198" t="s">
        <v>21</v>
      </c>
      <c r="B198" t="s">
        <v>58</v>
      </c>
      <c r="C198" t="s">
        <v>20</v>
      </c>
      <c r="D198" t="s">
        <v>59</v>
      </c>
      <c r="E198" s="5">
        <f t="shared" si="3"/>
        <v>42005</v>
      </c>
      <c r="F198">
        <v>2015</v>
      </c>
      <c r="G198">
        <v>50.881</v>
      </c>
      <c r="H198">
        <v>49.9</v>
      </c>
      <c r="I198">
        <v>189.99999761581401</v>
      </c>
      <c r="J198">
        <v>5.0343523000000001</v>
      </c>
      <c r="K198">
        <v>1.91022861003876</v>
      </c>
      <c r="L198">
        <v>5.6059999465942401</v>
      </c>
      <c r="M198" t="s">
        <v>56</v>
      </c>
      <c r="N198">
        <v>15.33947083</v>
      </c>
      <c r="O198">
        <v>430688.65</v>
      </c>
      <c r="P198">
        <v>3311386.42</v>
      </c>
      <c r="Q198">
        <v>946013.03</v>
      </c>
    </row>
    <row r="199" spans="1:17" x14ac:dyDescent="0.3">
      <c r="A199" t="s">
        <v>31</v>
      </c>
      <c r="B199" t="s">
        <v>60</v>
      </c>
      <c r="C199" t="s">
        <v>18</v>
      </c>
      <c r="D199" t="s">
        <v>61</v>
      </c>
      <c r="E199" s="5">
        <f t="shared" si="3"/>
        <v>42005</v>
      </c>
      <c r="F199">
        <v>2015</v>
      </c>
      <c r="G199">
        <v>64.135999999999996</v>
      </c>
      <c r="H199">
        <v>14.2</v>
      </c>
      <c r="I199">
        <v>460.00000834464998</v>
      </c>
      <c r="J199">
        <v>3.0755648600000001</v>
      </c>
      <c r="K199">
        <v>3.5902400016784699</v>
      </c>
      <c r="L199">
        <v>26.325000762939499</v>
      </c>
      <c r="M199" t="s">
        <v>56</v>
      </c>
      <c r="N199">
        <v>33.820964250000003</v>
      </c>
      <c r="O199">
        <v>34730.9</v>
      </c>
      <c r="P199">
        <v>281206.34999999998</v>
      </c>
      <c r="Q199">
        <v>159849.74</v>
      </c>
    </row>
    <row r="200" spans="1:17" x14ac:dyDescent="0.3">
      <c r="A200" t="s">
        <v>22</v>
      </c>
      <c r="B200" t="s">
        <v>80</v>
      </c>
      <c r="C200" t="s">
        <v>20</v>
      </c>
      <c r="D200" t="s">
        <v>59</v>
      </c>
      <c r="E200" s="5">
        <f t="shared" si="3"/>
        <v>42005</v>
      </c>
      <c r="F200">
        <v>2015</v>
      </c>
      <c r="G200">
        <v>65.048000000000002</v>
      </c>
      <c r="H200">
        <v>14.8</v>
      </c>
      <c r="I200">
        <v>12890.000343322799</v>
      </c>
      <c r="J200">
        <v>3.8231711399999999</v>
      </c>
      <c r="K200">
        <v>4.7379198074340803</v>
      </c>
      <c r="L200">
        <v>2.2739999294281001</v>
      </c>
      <c r="M200" t="s">
        <v>54</v>
      </c>
      <c r="N200">
        <v>5.6549946159999998</v>
      </c>
      <c r="O200">
        <v>2738822.83</v>
      </c>
      <c r="P200">
        <v>25713232.620000001</v>
      </c>
      <c r="Q200">
        <v>12011987.27</v>
      </c>
    </row>
    <row r="201" spans="1:17" x14ac:dyDescent="0.3">
      <c r="A201" t="s">
        <v>23</v>
      </c>
      <c r="B201" t="s">
        <v>64</v>
      </c>
      <c r="C201" t="s">
        <v>20</v>
      </c>
      <c r="D201" t="s">
        <v>61</v>
      </c>
      <c r="E201" s="5">
        <f t="shared" si="3"/>
        <v>42005</v>
      </c>
      <c r="F201">
        <v>2015</v>
      </c>
      <c r="G201">
        <v>62.771999999999998</v>
      </c>
      <c r="H201">
        <v>7.7</v>
      </c>
      <c r="I201">
        <v>15779.999732971201</v>
      </c>
      <c r="J201">
        <v>4.6217145899999998</v>
      </c>
      <c r="K201">
        <v>4.4340500831604004</v>
      </c>
      <c r="L201">
        <v>6.8099999427795401</v>
      </c>
      <c r="M201" t="s">
        <v>63</v>
      </c>
      <c r="N201">
        <v>11.00233495</v>
      </c>
      <c r="O201">
        <v>855628.63</v>
      </c>
      <c r="P201">
        <v>7313162.8899999997</v>
      </c>
      <c r="Q201">
        <v>4611697.34</v>
      </c>
    </row>
    <row r="202" spans="1:17" x14ac:dyDescent="0.3">
      <c r="A202" t="s">
        <v>10</v>
      </c>
      <c r="B202" t="s">
        <v>85</v>
      </c>
      <c r="C202" t="s">
        <v>17</v>
      </c>
      <c r="D202" t="s">
        <v>61</v>
      </c>
      <c r="E202" s="5">
        <f t="shared" si="3"/>
        <v>42005</v>
      </c>
      <c r="F202">
        <v>2015</v>
      </c>
      <c r="G202">
        <v>74.495000000000005</v>
      </c>
      <c r="H202">
        <v>14.5</v>
      </c>
      <c r="I202">
        <v>9930.0003051757794</v>
      </c>
      <c r="J202">
        <v>7.4837899200000004</v>
      </c>
      <c r="K202">
        <v>6.4129700660705602</v>
      </c>
      <c r="L202">
        <v>6.1500000953674299</v>
      </c>
      <c r="M202" t="s">
        <v>54</v>
      </c>
      <c r="N202">
        <v>47.741415719999999</v>
      </c>
      <c r="O202">
        <v>658492.84</v>
      </c>
      <c r="P202">
        <v>455716.08</v>
      </c>
      <c r="Q202">
        <v>1562803.02</v>
      </c>
    </row>
    <row r="203" spans="1:17" x14ac:dyDescent="0.3">
      <c r="A203" t="s">
        <v>33</v>
      </c>
      <c r="B203" t="s">
        <v>87</v>
      </c>
      <c r="C203" t="s">
        <v>15</v>
      </c>
      <c r="D203" t="s">
        <v>61</v>
      </c>
      <c r="E203" s="5">
        <f t="shared" si="3"/>
        <v>42005</v>
      </c>
      <c r="F203">
        <v>2015</v>
      </c>
      <c r="G203">
        <v>67.290999999999997</v>
      </c>
      <c r="H203">
        <v>3.2</v>
      </c>
      <c r="I203">
        <v>59.9999986588955</v>
      </c>
      <c r="J203">
        <v>7.9881854099999998</v>
      </c>
      <c r="K203">
        <v>9.8629598617553693</v>
      </c>
      <c r="M203" t="s">
        <v>63</v>
      </c>
      <c r="N203">
        <v>24.92736807</v>
      </c>
      <c r="O203">
        <v>4667.8</v>
      </c>
      <c r="P203">
        <v>17315.259999999998</v>
      </c>
      <c r="Q203">
        <v>34201.300000000003</v>
      </c>
    </row>
    <row r="204" spans="1:17" x14ac:dyDescent="0.3">
      <c r="A204" t="s">
        <v>66</v>
      </c>
      <c r="B204" t="s">
        <v>67</v>
      </c>
      <c r="C204" t="s">
        <v>20</v>
      </c>
      <c r="D204" t="s">
        <v>61</v>
      </c>
      <c r="E204" s="5">
        <f t="shared" si="3"/>
        <v>42005</v>
      </c>
      <c r="F204">
        <v>2015</v>
      </c>
      <c r="G204">
        <v>51.037999999999997</v>
      </c>
      <c r="H204">
        <v>30.3</v>
      </c>
      <c r="I204">
        <v>649.99997615814198</v>
      </c>
      <c r="J204">
        <v>8.9953937499999999</v>
      </c>
      <c r="K204">
        <v>9</v>
      </c>
      <c r="L204">
        <v>23.840999603271499</v>
      </c>
      <c r="M204" t="s">
        <v>54</v>
      </c>
      <c r="N204">
        <v>38.379569269999998</v>
      </c>
      <c r="O204">
        <v>171049.25</v>
      </c>
      <c r="P204">
        <v>1220944.95</v>
      </c>
      <c r="Q204">
        <v>448728.27</v>
      </c>
    </row>
    <row r="205" spans="1:17" x14ac:dyDescent="0.3">
      <c r="A205" t="s">
        <v>24</v>
      </c>
      <c r="B205" t="s">
        <v>68</v>
      </c>
      <c r="C205" t="s">
        <v>20</v>
      </c>
      <c r="D205" t="s">
        <v>59</v>
      </c>
      <c r="E205" s="5">
        <f t="shared" si="3"/>
        <v>42005</v>
      </c>
      <c r="F205">
        <v>2015</v>
      </c>
      <c r="G205">
        <v>65.539000000000001</v>
      </c>
      <c r="H205">
        <v>40.200000000000003</v>
      </c>
      <c r="I205">
        <v>3279.9999713897701</v>
      </c>
      <c r="J205">
        <v>4.9722447399999998</v>
      </c>
      <c r="K205">
        <v>2.2101199626922599</v>
      </c>
      <c r="L205">
        <v>1.78999996185303</v>
      </c>
      <c r="M205" t="s">
        <v>56</v>
      </c>
      <c r="N205">
        <v>8.7454245959999994</v>
      </c>
      <c r="O205">
        <v>577487.78</v>
      </c>
      <c r="P205">
        <v>6588260.75</v>
      </c>
      <c r="Q205">
        <v>3673974.47</v>
      </c>
    </row>
    <row r="206" spans="1:17" x14ac:dyDescent="0.3">
      <c r="A206" t="s">
        <v>25</v>
      </c>
      <c r="B206" t="s">
        <v>69</v>
      </c>
      <c r="C206" t="s">
        <v>20</v>
      </c>
      <c r="D206" t="s">
        <v>59</v>
      </c>
      <c r="E206" s="5">
        <f t="shared" si="3"/>
        <v>42005</v>
      </c>
      <c r="F206">
        <v>2015</v>
      </c>
      <c r="G206">
        <v>57.509</v>
      </c>
      <c r="H206">
        <v>3.4</v>
      </c>
      <c r="I206">
        <v>3650.0000953674298</v>
      </c>
      <c r="J206">
        <v>4.1114335100000003</v>
      </c>
      <c r="K206">
        <v>3.8015201091766402</v>
      </c>
      <c r="L206">
        <v>7.7300000190734899</v>
      </c>
      <c r="M206" t="s">
        <v>54</v>
      </c>
      <c r="N206">
        <v>16.400831069999999</v>
      </c>
      <c r="O206">
        <v>734243.79</v>
      </c>
      <c r="P206">
        <v>10713095.470000001</v>
      </c>
      <c r="Q206">
        <v>3002249.94</v>
      </c>
    </row>
    <row r="207" spans="1:17" x14ac:dyDescent="0.3">
      <c r="A207" t="s">
        <v>35</v>
      </c>
      <c r="B207" t="s">
        <v>88</v>
      </c>
      <c r="C207" t="s">
        <v>15</v>
      </c>
      <c r="D207" t="s">
        <v>61</v>
      </c>
      <c r="E207" s="5">
        <f t="shared" si="3"/>
        <v>42005</v>
      </c>
      <c r="F207">
        <v>2015</v>
      </c>
      <c r="G207">
        <v>65.81</v>
      </c>
      <c r="H207">
        <v>4.2</v>
      </c>
      <c r="I207">
        <v>19040.0009155273</v>
      </c>
      <c r="J207">
        <v>5.4778051400000001</v>
      </c>
      <c r="K207">
        <v>2.0999999046325701</v>
      </c>
      <c r="L207">
        <v>0.769999980926514</v>
      </c>
      <c r="M207" t="s">
        <v>54</v>
      </c>
      <c r="N207">
        <v>60.927299130000002</v>
      </c>
      <c r="O207">
        <v>1909908.95</v>
      </c>
      <c r="P207">
        <v>6326942.9199999999</v>
      </c>
      <c r="Q207">
        <v>12138060.84</v>
      </c>
    </row>
    <row r="208" spans="1:17" x14ac:dyDescent="0.3">
      <c r="A208" t="s">
        <v>11</v>
      </c>
      <c r="B208" t="s">
        <v>82</v>
      </c>
      <c r="C208" t="s">
        <v>15</v>
      </c>
      <c r="D208" t="s">
        <v>61</v>
      </c>
      <c r="E208" s="5">
        <f t="shared" si="3"/>
        <v>42005</v>
      </c>
      <c r="F208">
        <v>2015</v>
      </c>
      <c r="G208">
        <v>69.111000000000004</v>
      </c>
      <c r="H208">
        <v>8.4</v>
      </c>
      <c r="I208">
        <v>17299.9992370605</v>
      </c>
      <c r="J208">
        <v>4.2383408500000002</v>
      </c>
      <c r="K208">
        <v>4.2236199378967303</v>
      </c>
      <c r="L208">
        <v>4.8600001335143999</v>
      </c>
      <c r="M208" t="s">
        <v>63</v>
      </c>
      <c r="N208">
        <v>48.544634379999998</v>
      </c>
      <c r="O208">
        <v>172001.73</v>
      </c>
      <c r="P208">
        <v>188603.91</v>
      </c>
      <c r="Q208">
        <v>741458.44</v>
      </c>
    </row>
    <row r="209" spans="1:17" x14ac:dyDescent="0.3">
      <c r="A209" t="s">
        <v>34</v>
      </c>
      <c r="B209" t="s">
        <v>86</v>
      </c>
      <c r="C209" t="s">
        <v>20</v>
      </c>
      <c r="D209" t="s">
        <v>59</v>
      </c>
      <c r="E209" s="5">
        <f t="shared" si="3"/>
        <v>42005</v>
      </c>
      <c r="F209">
        <v>2015</v>
      </c>
      <c r="G209">
        <v>61.953000000000003</v>
      </c>
      <c r="H209">
        <v>16</v>
      </c>
      <c r="I209">
        <v>930.00000715255703</v>
      </c>
      <c r="J209">
        <v>9.3333406399999994</v>
      </c>
      <c r="K209">
        <v>5.60866022109985</v>
      </c>
      <c r="L209">
        <v>5.8639998435974103</v>
      </c>
      <c r="M209" t="s">
        <v>56</v>
      </c>
      <c r="N209">
        <v>22.948757579999999</v>
      </c>
      <c r="O209">
        <v>425979.48</v>
      </c>
      <c r="P209">
        <v>5286826.68</v>
      </c>
      <c r="Q209">
        <v>2318005.94</v>
      </c>
    </row>
    <row r="210" spans="1:17" x14ac:dyDescent="0.3">
      <c r="A210" t="s">
        <v>12</v>
      </c>
      <c r="B210" t="s">
        <v>70</v>
      </c>
      <c r="C210" t="s">
        <v>19</v>
      </c>
      <c r="D210" t="s">
        <v>61</v>
      </c>
      <c r="E210" s="5">
        <f t="shared" si="3"/>
        <v>42005</v>
      </c>
      <c r="F210">
        <v>2015</v>
      </c>
      <c r="G210">
        <v>69.515000000000001</v>
      </c>
      <c r="H210">
        <v>5.3</v>
      </c>
      <c r="I210">
        <v>7190.0000572204599</v>
      </c>
      <c r="J210">
        <v>5.4661507599999997</v>
      </c>
      <c r="K210">
        <v>3.2590200901031499</v>
      </c>
      <c r="L210">
        <v>3.0999999046325701</v>
      </c>
      <c r="M210" t="s">
        <v>54</v>
      </c>
      <c r="N210">
        <v>36.857088539999999</v>
      </c>
      <c r="O210">
        <v>1391558.42</v>
      </c>
      <c r="P210">
        <v>3235798.89</v>
      </c>
      <c r="Q210">
        <v>5255331.43</v>
      </c>
    </row>
    <row r="211" spans="1:17" x14ac:dyDescent="0.3">
      <c r="A211" t="s">
        <v>27</v>
      </c>
      <c r="B211" t="s">
        <v>71</v>
      </c>
      <c r="C211" t="s">
        <v>20</v>
      </c>
      <c r="D211" t="s">
        <v>61</v>
      </c>
      <c r="E211" s="5">
        <f t="shared" si="3"/>
        <v>42005</v>
      </c>
      <c r="F211">
        <v>2015</v>
      </c>
      <c r="G211">
        <v>66.747</v>
      </c>
      <c r="H211">
        <v>10.7</v>
      </c>
      <c r="I211">
        <v>9289.9999618530292</v>
      </c>
      <c r="J211">
        <v>4.3825731299999999</v>
      </c>
      <c r="K211">
        <v>5.4563798904418901</v>
      </c>
      <c r="L211">
        <v>6.7600002288818404</v>
      </c>
      <c r="M211" t="s">
        <v>63</v>
      </c>
      <c r="N211">
        <v>20.978746650000001</v>
      </c>
      <c r="O211">
        <v>331271.48</v>
      </c>
      <c r="P211">
        <v>3264833.98</v>
      </c>
      <c r="Q211">
        <v>2091107.35</v>
      </c>
    </row>
    <row r="212" spans="1:17" x14ac:dyDescent="0.3">
      <c r="A212" t="s">
        <v>28</v>
      </c>
      <c r="B212" t="s">
        <v>72</v>
      </c>
      <c r="C212" t="s">
        <v>20</v>
      </c>
      <c r="D212" t="s">
        <v>59</v>
      </c>
      <c r="E212" s="5">
        <f t="shared" si="3"/>
        <v>42005</v>
      </c>
      <c r="F212">
        <v>2015</v>
      </c>
      <c r="G212">
        <v>52.941000000000003</v>
      </c>
      <c r="H212">
        <v>25.8</v>
      </c>
      <c r="I212">
        <v>910.00002622604404</v>
      </c>
      <c r="J212">
        <v>20.413414</v>
      </c>
      <c r="K212">
        <v>3.05729007720947</v>
      </c>
      <c r="L212">
        <v>4.7420001029968297</v>
      </c>
      <c r="M212" t="s">
        <v>54</v>
      </c>
      <c r="N212">
        <v>12.71464273</v>
      </c>
      <c r="O212">
        <v>276914.76</v>
      </c>
      <c r="P212">
        <v>3511791.97</v>
      </c>
      <c r="Q212">
        <v>1292235.02</v>
      </c>
    </row>
    <row r="213" spans="1:17" x14ac:dyDescent="0.3">
      <c r="A213" t="s">
        <v>26</v>
      </c>
      <c r="B213" t="s">
        <v>73</v>
      </c>
      <c r="C213" t="s">
        <v>20</v>
      </c>
      <c r="D213" t="s">
        <v>61</v>
      </c>
      <c r="E213" s="5">
        <f t="shared" si="3"/>
        <v>42005</v>
      </c>
      <c r="F213">
        <v>2015</v>
      </c>
      <c r="G213">
        <v>69.376999999999995</v>
      </c>
      <c r="H213">
        <v>12.9</v>
      </c>
      <c r="I213">
        <v>119.999997317791</v>
      </c>
      <c r="J213">
        <v>5.3400964699999998</v>
      </c>
      <c r="K213">
        <v>3.8645999431610099</v>
      </c>
      <c r="L213">
        <v>13.8210000991821</v>
      </c>
      <c r="M213" t="s">
        <v>63</v>
      </c>
      <c r="N213">
        <v>29.05384394</v>
      </c>
      <c r="O213">
        <v>4162.92</v>
      </c>
      <c r="P213">
        <v>19209.21</v>
      </c>
      <c r="Q213">
        <v>31084.18</v>
      </c>
    </row>
    <row r="214" spans="1:17" x14ac:dyDescent="0.3">
      <c r="A214" t="s">
        <v>74</v>
      </c>
      <c r="B214" t="s">
        <v>75</v>
      </c>
      <c r="C214" t="s">
        <v>20</v>
      </c>
      <c r="D214" t="s">
        <v>59</v>
      </c>
      <c r="E214" s="5">
        <f t="shared" si="3"/>
        <v>42005</v>
      </c>
      <c r="F214">
        <v>2015</v>
      </c>
      <c r="G214">
        <v>53.137</v>
      </c>
      <c r="H214">
        <v>28</v>
      </c>
      <c r="I214">
        <v>2390.0001049041698</v>
      </c>
      <c r="J214">
        <v>4.5239543900000001</v>
      </c>
      <c r="K214">
        <v>2.4000000953674299</v>
      </c>
      <c r="L214">
        <v>1.07099997997284</v>
      </c>
      <c r="M214" t="s">
        <v>56</v>
      </c>
      <c r="N214">
        <v>9.3569730520000007</v>
      </c>
      <c r="O214">
        <v>594022.47</v>
      </c>
      <c r="P214">
        <v>8317417.0599999996</v>
      </c>
      <c r="Q214">
        <v>2194597.11</v>
      </c>
    </row>
    <row r="215" spans="1:17" x14ac:dyDescent="0.3">
      <c r="A215" t="s">
        <v>30</v>
      </c>
      <c r="B215" t="s">
        <v>77</v>
      </c>
      <c r="C215" t="s">
        <v>20</v>
      </c>
      <c r="D215" t="s">
        <v>59</v>
      </c>
      <c r="E215" s="5">
        <f t="shared" si="3"/>
        <v>42005</v>
      </c>
      <c r="F215">
        <v>2015</v>
      </c>
      <c r="G215">
        <v>59.927</v>
      </c>
      <c r="H215">
        <v>20.5</v>
      </c>
      <c r="I215">
        <v>1830.0000429153399</v>
      </c>
      <c r="J215">
        <v>4.9564662000000004</v>
      </c>
      <c r="K215">
        <v>5.1086001396179199</v>
      </c>
      <c r="L215">
        <v>2.2000000476837198</v>
      </c>
      <c r="M215" t="s">
        <v>56</v>
      </c>
      <c r="N215">
        <v>8.3216166969999996</v>
      </c>
      <c r="O215">
        <v>236202.63</v>
      </c>
      <c r="P215">
        <v>2405029.12</v>
      </c>
      <c r="Q215">
        <v>1081590.8899999999</v>
      </c>
    </row>
    <row r="216" spans="1:17" x14ac:dyDescent="0.3">
      <c r="A216" t="s">
        <v>29</v>
      </c>
      <c r="B216" t="s">
        <v>78</v>
      </c>
      <c r="C216" t="s">
        <v>20</v>
      </c>
      <c r="D216" t="s">
        <v>61</v>
      </c>
      <c r="E216" s="5">
        <f t="shared" si="3"/>
        <v>42005</v>
      </c>
      <c r="F216">
        <v>2015</v>
      </c>
      <c r="G216">
        <v>63.110999999999997</v>
      </c>
      <c r="H216">
        <v>22.5</v>
      </c>
      <c r="I216">
        <v>11689.999580383301</v>
      </c>
      <c r="J216">
        <v>3.6496992100000001</v>
      </c>
      <c r="K216">
        <v>4.1948699951171902</v>
      </c>
      <c r="L216">
        <v>2.1429998874664302</v>
      </c>
      <c r="M216" t="s">
        <v>54</v>
      </c>
      <c r="N216">
        <v>22.071758169999999</v>
      </c>
      <c r="O216">
        <v>1446560.26</v>
      </c>
      <c r="P216">
        <v>15042934.66</v>
      </c>
      <c r="Q216">
        <v>7895135.1900000004</v>
      </c>
    </row>
    <row r="217" spans="1:17" x14ac:dyDescent="0.3">
      <c r="A217" t="s">
        <v>13</v>
      </c>
      <c r="B217" t="s">
        <v>83</v>
      </c>
      <c r="C217" t="s">
        <v>15</v>
      </c>
      <c r="D217" t="s">
        <v>61</v>
      </c>
      <c r="E217" s="5">
        <f t="shared" si="3"/>
        <v>42005</v>
      </c>
      <c r="F217">
        <v>2015</v>
      </c>
      <c r="G217">
        <v>72.73</v>
      </c>
      <c r="H217">
        <v>4.4000000000000004</v>
      </c>
      <c r="I217">
        <v>239.999994635582</v>
      </c>
      <c r="J217">
        <v>5.7875504500000003</v>
      </c>
      <c r="K217">
        <v>4.8577299118042001</v>
      </c>
      <c r="L217">
        <v>8.5010004043579102</v>
      </c>
      <c r="M217" t="s">
        <v>81</v>
      </c>
      <c r="N217">
        <v>47.86920748</v>
      </c>
      <c r="O217">
        <v>6445.02</v>
      </c>
      <c r="P217">
        <v>8806.61</v>
      </c>
      <c r="Q217">
        <v>41367.550000000003</v>
      </c>
    </row>
    <row r="218" spans="1:17" x14ac:dyDescent="0.3">
      <c r="A218" t="s">
        <v>7</v>
      </c>
      <c r="B218" t="s">
        <v>79</v>
      </c>
      <c r="C218" t="s">
        <v>19</v>
      </c>
      <c r="D218" t="s">
        <v>61</v>
      </c>
      <c r="E218" s="5">
        <f t="shared" si="3"/>
        <v>42370</v>
      </c>
      <c r="F218">
        <v>2016</v>
      </c>
      <c r="G218">
        <v>71.784999999999997</v>
      </c>
      <c r="H218">
        <v>13.3</v>
      </c>
      <c r="I218">
        <v>74379.997253417998</v>
      </c>
      <c r="J218">
        <v>2.47291207</v>
      </c>
      <c r="K218">
        <v>1.53553998470306</v>
      </c>
      <c r="L218">
        <v>4.3499999046325701</v>
      </c>
      <c r="M218" t="s">
        <v>56</v>
      </c>
      <c r="N218">
        <v>34.671750690000003</v>
      </c>
      <c r="O218">
        <v>3273604.39</v>
      </c>
      <c r="P218">
        <v>13504962.58</v>
      </c>
      <c r="Q218">
        <v>26200586.73</v>
      </c>
    </row>
    <row r="219" spans="1:17" x14ac:dyDescent="0.3">
      <c r="A219" t="s">
        <v>21</v>
      </c>
      <c r="B219" t="s">
        <v>58</v>
      </c>
      <c r="C219" t="s">
        <v>20</v>
      </c>
      <c r="D219" t="s">
        <v>59</v>
      </c>
      <c r="E219" s="5">
        <f t="shared" si="3"/>
        <v>42370</v>
      </c>
      <c r="F219">
        <v>2016</v>
      </c>
      <c r="G219">
        <v>51.593000000000004</v>
      </c>
      <c r="H219">
        <v>48.6</v>
      </c>
      <c r="I219">
        <v>209.99999344348899</v>
      </c>
      <c r="J219">
        <v>5.4440031099999997</v>
      </c>
      <c r="K219">
        <v>1.75408899784088</v>
      </c>
      <c r="L219">
        <v>5.65199995040894</v>
      </c>
      <c r="M219" t="s">
        <v>56</v>
      </c>
      <c r="N219">
        <v>14.987157270000001</v>
      </c>
      <c r="O219">
        <v>422223.77</v>
      </c>
      <c r="P219">
        <v>3228300.21</v>
      </c>
      <c r="Q219">
        <v>956539.23</v>
      </c>
    </row>
    <row r="220" spans="1:17" x14ac:dyDescent="0.3">
      <c r="A220" t="s">
        <v>31</v>
      </c>
      <c r="B220" t="s">
        <v>60</v>
      </c>
      <c r="C220" t="s">
        <v>18</v>
      </c>
      <c r="D220" t="s">
        <v>61</v>
      </c>
      <c r="E220" s="5">
        <f t="shared" si="3"/>
        <v>42370</v>
      </c>
      <c r="F220">
        <v>2016</v>
      </c>
      <c r="G220">
        <v>65.063999999999993</v>
      </c>
      <c r="H220">
        <v>13.6</v>
      </c>
      <c r="I220">
        <v>419.99998688697798</v>
      </c>
      <c r="J220">
        <v>2.7274003000000002</v>
      </c>
      <c r="K220">
        <v>3.9243900775909402</v>
      </c>
      <c r="L220">
        <v>26.193000793456999</v>
      </c>
      <c r="M220" t="s">
        <v>56</v>
      </c>
      <c r="N220">
        <v>34.628763509999999</v>
      </c>
      <c r="O220">
        <v>33453.839999999997</v>
      </c>
      <c r="P220">
        <v>272081.02</v>
      </c>
      <c r="Q220">
        <v>164595.32</v>
      </c>
    </row>
    <row r="221" spans="1:17" x14ac:dyDescent="0.3">
      <c r="A221" t="s">
        <v>22</v>
      </c>
      <c r="B221" t="s">
        <v>80</v>
      </c>
      <c r="C221" t="s">
        <v>20</v>
      </c>
      <c r="D221" t="s">
        <v>59</v>
      </c>
      <c r="E221" s="5">
        <f t="shared" si="3"/>
        <v>42370</v>
      </c>
      <c r="F221">
        <v>2016</v>
      </c>
      <c r="G221">
        <v>65.481999999999999</v>
      </c>
      <c r="H221">
        <v>14.4</v>
      </c>
      <c r="I221">
        <v>14970.000267028799</v>
      </c>
      <c r="J221">
        <v>3.60033059</v>
      </c>
      <c r="K221">
        <v>5.0615100860595703</v>
      </c>
      <c r="L221">
        <v>2.2880001068115199</v>
      </c>
      <c r="M221" t="s">
        <v>54</v>
      </c>
      <c r="N221">
        <v>5.8664890620000003</v>
      </c>
      <c r="O221">
        <v>2851050.31</v>
      </c>
      <c r="P221">
        <v>24764043.940000001</v>
      </c>
      <c r="Q221">
        <v>12236105.640000001</v>
      </c>
    </row>
    <row r="222" spans="1:17" x14ac:dyDescent="0.3">
      <c r="A222" t="s">
        <v>23</v>
      </c>
      <c r="B222" t="s">
        <v>64</v>
      </c>
      <c r="C222" t="s">
        <v>20</v>
      </c>
      <c r="D222" t="s">
        <v>61</v>
      </c>
      <c r="E222" s="5">
        <f t="shared" si="3"/>
        <v>42370</v>
      </c>
      <c r="F222">
        <v>2016</v>
      </c>
      <c r="G222">
        <v>63.124000000000002</v>
      </c>
      <c r="H222">
        <v>7.7</v>
      </c>
      <c r="I222">
        <v>16069.999694824201</v>
      </c>
      <c r="J222">
        <v>3.4615774199999998</v>
      </c>
      <c r="K222">
        <v>4.3945298194885298</v>
      </c>
      <c r="L222">
        <v>5.52699995040894</v>
      </c>
      <c r="M222" t="s">
        <v>54</v>
      </c>
      <c r="N222">
        <v>11.47145828</v>
      </c>
      <c r="O222">
        <v>878314.83</v>
      </c>
      <c r="P222">
        <v>7111442.2199999997</v>
      </c>
      <c r="Q222">
        <v>4761360.78</v>
      </c>
    </row>
    <row r="223" spans="1:17" x14ac:dyDescent="0.3">
      <c r="A223" t="s">
        <v>10</v>
      </c>
      <c r="B223" t="s">
        <v>85</v>
      </c>
      <c r="C223" t="s">
        <v>17</v>
      </c>
      <c r="D223" t="s">
        <v>61</v>
      </c>
      <c r="E223" s="5">
        <f t="shared" si="3"/>
        <v>42370</v>
      </c>
      <c r="F223">
        <v>2016</v>
      </c>
      <c r="G223">
        <v>74.700999999999993</v>
      </c>
      <c r="H223">
        <v>13.8</v>
      </c>
      <c r="I223">
        <v>9470.0002670288104</v>
      </c>
      <c r="J223">
        <v>7.6909861599999996</v>
      </c>
      <c r="K223">
        <v>5.1596198081970197</v>
      </c>
      <c r="L223">
        <v>6.7300000190734899</v>
      </c>
      <c r="M223" t="s">
        <v>54</v>
      </c>
      <c r="N223">
        <v>48.1578315</v>
      </c>
      <c r="O223">
        <v>373951.84</v>
      </c>
      <c r="P223">
        <v>448708.47</v>
      </c>
      <c r="Q223">
        <v>1601073.7</v>
      </c>
    </row>
    <row r="224" spans="1:17" x14ac:dyDescent="0.3">
      <c r="A224" t="s">
        <v>33</v>
      </c>
      <c r="B224" t="s">
        <v>87</v>
      </c>
      <c r="C224" t="s">
        <v>15</v>
      </c>
      <c r="D224" t="s">
        <v>61</v>
      </c>
      <c r="E224" s="5">
        <f t="shared" si="3"/>
        <v>42370</v>
      </c>
      <c r="F224">
        <v>2016</v>
      </c>
      <c r="G224">
        <v>67.576999999999998</v>
      </c>
      <c r="H224">
        <v>3.3</v>
      </c>
      <c r="I224">
        <v>70.000000298023195</v>
      </c>
      <c r="J224">
        <v>9.3203678100000005</v>
      </c>
      <c r="K224">
        <v>10.093589782714799</v>
      </c>
      <c r="M224" t="s">
        <v>63</v>
      </c>
      <c r="N224">
        <v>25.313232930000002</v>
      </c>
      <c r="O224">
        <v>4701.7299999999996</v>
      </c>
      <c r="P224">
        <v>16972.63</v>
      </c>
      <c r="Q224">
        <v>34703.89</v>
      </c>
    </row>
    <row r="225" spans="1:17" x14ac:dyDescent="0.3">
      <c r="A225" t="s">
        <v>66</v>
      </c>
      <c r="B225" t="s">
        <v>67</v>
      </c>
      <c r="C225" t="s">
        <v>20</v>
      </c>
      <c r="D225" t="s">
        <v>61</v>
      </c>
      <c r="E225" s="5">
        <f t="shared" si="3"/>
        <v>42370</v>
      </c>
      <c r="F225">
        <v>2016</v>
      </c>
      <c r="G225">
        <v>52.058999999999997</v>
      </c>
      <c r="H225">
        <v>32</v>
      </c>
      <c r="I225">
        <v>689.99999761581398</v>
      </c>
      <c r="J225">
        <v>8.7597246200000001</v>
      </c>
      <c r="K225">
        <v>7.7607498168945304</v>
      </c>
      <c r="L225">
        <v>23.475000381469702</v>
      </c>
      <c r="M225" t="s">
        <v>54</v>
      </c>
      <c r="N225">
        <v>40.274487809999997</v>
      </c>
      <c r="O225">
        <v>169438.9</v>
      </c>
      <c r="P225">
        <v>1145360.6299999999</v>
      </c>
      <c r="Q225">
        <v>446822.92</v>
      </c>
    </row>
    <row r="226" spans="1:17" x14ac:dyDescent="0.3">
      <c r="A226" t="s">
        <v>24</v>
      </c>
      <c r="B226" t="s">
        <v>68</v>
      </c>
      <c r="C226" t="s">
        <v>20</v>
      </c>
      <c r="D226" t="s">
        <v>59</v>
      </c>
      <c r="E226" s="5">
        <f t="shared" si="3"/>
        <v>42370</v>
      </c>
      <c r="F226">
        <v>2016</v>
      </c>
      <c r="G226">
        <v>65.930999999999997</v>
      </c>
      <c r="H226">
        <v>41.6</v>
      </c>
      <c r="I226">
        <v>3180.0000667571999</v>
      </c>
      <c r="J226">
        <v>5.25697422</v>
      </c>
      <c r="K226">
        <v>2.6871900558471702</v>
      </c>
      <c r="L226">
        <v>1.8049999475479099</v>
      </c>
      <c r="M226" t="s">
        <v>56</v>
      </c>
      <c r="N226">
        <v>9.0777716300000009</v>
      </c>
      <c r="O226">
        <v>576993.67000000004</v>
      </c>
      <c r="P226">
        <v>6469074.71</v>
      </c>
      <c r="Q226">
        <v>3759391.31</v>
      </c>
    </row>
    <row r="227" spans="1:17" x14ac:dyDescent="0.3">
      <c r="A227" t="s">
        <v>25</v>
      </c>
      <c r="B227" t="s">
        <v>69</v>
      </c>
      <c r="C227" t="s">
        <v>20</v>
      </c>
      <c r="D227" t="s">
        <v>59</v>
      </c>
      <c r="E227" s="5">
        <f t="shared" si="3"/>
        <v>42370</v>
      </c>
      <c r="F227">
        <v>2016</v>
      </c>
      <c r="G227">
        <v>57.987000000000002</v>
      </c>
      <c r="H227">
        <v>3.1</v>
      </c>
      <c r="I227">
        <v>4670.0000762939499</v>
      </c>
      <c r="J227">
        <v>3.7737739100000001</v>
      </c>
      <c r="K227">
        <v>3.0947799682617201</v>
      </c>
      <c r="L227">
        <v>7.5700001716613796</v>
      </c>
      <c r="M227" t="s">
        <v>54</v>
      </c>
      <c r="N227">
        <v>17.114138709999999</v>
      </c>
      <c r="O227">
        <v>785125.44</v>
      </c>
      <c r="P227">
        <v>10541209.83</v>
      </c>
      <c r="Q227">
        <v>3201311.76</v>
      </c>
    </row>
    <row r="228" spans="1:17" x14ac:dyDescent="0.3">
      <c r="A228" t="s">
        <v>35</v>
      </c>
      <c r="B228" t="s">
        <v>88</v>
      </c>
      <c r="C228" t="s">
        <v>15</v>
      </c>
      <c r="D228" t="s">
        <v>61</v>
      </c>
      <c r="E228" s="5">
        <f t="shared" si="3"/>
        <v>42370</v>
      </c>
      <c r="F228">
        <v>2016</v>
      </c>
      <c r="G228">
        <v>66.204999999999998</v>
      </c>
      <c r="H228">
        <v>3.5</v>
      </c>
      <c r="I228">
        <v>21860.000610351599</v>
      </c>
      <c r="J228">
        <v>5.1134996399999997</v>
      </c>
      <c r="K228">
        <v>1.8999999761581401</v>
      </c>
      <c r="L228">
        <v>1.1770000457763701</v>
      </c>
      <c r="M228" t="s">
        <v>54</v>
      </c>
      <c r="N228">
        <v>60.89505922</v>
      </c>
      <c r="O228">
        <v>1869195.7</v>
      </c>
      <c r="P228">
        <v>5884063.5700000003</v>
      </c>
      <c r="Q228">
        <v>12281024.58</v>
      </c>
    </row>
    <row r="229" spans="1:17" x14ac:dyDescent="0.3">
      <c r="A229" t="s">
        <v>11</v>
      </c>
      <c r="B229" t="s">
        <v>82</v>
      </c>
      <c r="C229" t="s">
        <v>15</v>
      </c>
      <c r="D229" t="s">
        <v>61</v>
      </c>
      <c r="E229" s="5">
        <f t="shared" si="3"/>
        <v>42370</v>
      </c>
      <c r="F229">
        <v>2016</v>
      </c>
      <c r="G229">
        <v>69.320999999999998</v>
      </c>
      <c r="H229">
        <v>7.4</v>
      </c>
      <c r="I229">
        <v>18170.000076293902</v>
      </c>
      <c r="J229">
        <v>4.4235563300000003</v>
      </c>
      <c r="K229">
        <v>5.1831002235412598</v>
      </c>
      <c r="L229">
        <v>7.2399997711181596</v>
      </c>
      <c r="M229" t="s">
        <v>63</v>
      </c>
      <c r="N229">
        <v>50.010429590000001</v>
      </c>
      <c r="O229">
        <v>171238.58</v>
      </c>
      <c r="P229">
        <v>179891.78</v>
      </c>
      <c r="Q229">
        <v>764574.07</v>
      </c>
    </row>
    <row r="230" spans="1:17" x14ac:dyDescent="0.3">
      <c r="A230" t="s">
        <v>34</v>
      </c>
      <c r="B230" t="s">
        <v>86</v>
      </c>
      <c r="C230" t="s">
        <v>20</v>
      </c>
      <c r="D230" t="s">
        <v>59</v>
      </c>
      <c r="E230" s="5">
        <f t="shared" si="3"/>
        <v>42370</v>
      </c>
      <c r="F230">
        <v>2016</v>
      </c>
      <c r="G230">
        <v>62.680999999999997</v>
      </c>
      <c r="H230">
        <v>16.100000000000001</v>
      </c>
      <c r="I230">
        <v>1120.00000476837</v>
      </c>
      <c r="J230">
        <v>10.879666329999999</v>
      </c>
      <c r="K230">
        <v>4.7485699653625497</v>
      </c>
      <c r="L230">
        <v>5.8169999122619602</v>
      </c>
      <c r="M230" t="s">
        <v>56</v>
      </c>
      <c r="N230">
        <v>23.201409179999999</v>
      </c>
      <c r="O230">
        <v>408325.5</v>
      </c>
      <c r="P230">
        <v>5189008.6900000004</v>
      </c>
      <c r="Q230">
        <v>2355866.7200000002</v>
      </c>
    </row>
    <row r="231" spans="1:17" x14ac:dyDescent="0.3">
      <c r="A231" t="s">
        <v>12</v>
      </c>
      <c r="B231" t="s">
        <v>70</v>
      </c>
      <c r="C231" t="s">
        <v>19</v>
      </c>
      <c r="D231" t="s">
        <v>61</v>
      </c>
      <c r="E231" s="5">
        <f t="shared" si="3"/>
        <v>42370</v>
      </c>
      <c r="F231">
        <v>2016</v>
      </c>
      <c r="G231">
        <v>69.847999999999999</v>
      </c>
      <c r="H231">
        <v>4.5</v>
      </c>
      <c r="I231">
        <v>10409.9998474121</v>
      </c>
      <c r="J231">
        <v>5.4237980800000001</v>
      </c>
      <c r="K231">
        <v>3.90320992469788</v>
      </c>
      <c r="L231">
        <v>2.8680000305175799</v>
      </c>
      <c r="M231" t="s">
        <v>54</v>
      </c>
      <c r="N231">
        <v>38.968149599999997</v>
      </c>
      <c r="O231">
        <v>882345.07</v>
      </c>
      <c r="P231">
        <v>3091083.68</v>
      </c>
      <c r="Q231">
        <v>5365146.03</v>
      </c>
    </row>
    <row r="232" spans="1:17" x14ac:dyDescent="0.3">
      <c r="A232" t="s">
        <v>27</v>
      </c>
      <c r="B232" t="s">
        <v>71</v>
      </c>
      <c r="C232" t="s">
        <v>20</v>
      </c>
      <c r="D232" t="s">
        <v>61</v>
      </c>
      <c r="E232" s="5">
        <f t="shared" si="3"/>
        <v>42370</v>
      </c>
      <c r="F232">
        <v>2016</v>
      </c>
      <c r="G232">
        <v>67.078000000000003</v>
      </c>
      <c r="H232">
        <v>9.5</v>
      </c>
      <c r="I232">
        <v>10130.0001144409</v>
      </c>
      <c r="J232">
        <v>4.2607812899999997</v>
      </c>
      <c r="K232">
        <v>5.1130900382995597</v>
      </c>
      <c r="L232">
        <v>4.46000003814697</v>
      </c>
      <c r="M232" t="s">
        <v>63</v>
      </c>
      <c r="N232">
        <v>21.66300532</v>
      </c>
      <c r="O232">
        <v>340945.55</v>
      </c>
      <c r="P232">
        <v>3175625.12</v>
      </c>
      <c r="Q232">
        <v>2155535.42</v>
      </c>
    </row>
    <row r="233" spans="1:17" x14ac:dyDescent="0.3">
      <c r="A233" t="s">
        <v>28</v>
      </c>
      <c r="B233" t="s">
        <v>72</v>
      </c>
      <c r="C233" t="s">
        <v>20</v>
      </c>
      <c r="D233" t="s">
        <v>59</v>
      </c>
      <c r="E233" s="5">
        <f t="shared" si="3"/>
        <v>42370</v>
      </c>
      <c r="F233">
        <v>2016</v>
      </c>
      <c r="G233">
        <v>53.444000000000003</v>
      </c>
      <c r="H233">
        <v>25.9</v>
      </c>
      <c r="I233">
        <v>930.00000715255703</v>
      </c>
      <c r="J233">
        <v>16.525955199999999</v>
      </c>
      <c r="K233">
        <v>3.06023001670837</v>
      </c>
      <c r="L233">
        <v>4.6630001068115199</v>
      </c>
      <c r="M233" t="s">
        <v>54</v>
      </c>
      <c r="N233">
        <v>12.98034479</v>
      </c>
      <c r="O233">
        <v>279141.78999999998</v>
      </c>
      <c r="P233">
        <v>3307688.86</v>
      </c>
      <c r="Q233">
        <v>1314401.46</v>
      </c>
    </row>
    <row r="234" spans="1:17" x14ac:dyDescent="0.3">
      <c r="A234" t="s">
        <v>26</v>
      </c>
      <c r="B234" t="s">
        <v>73</v>
      </c>
      <c r="C234" t="s">
        <v>20</v>
      </c>
      <c r="D234" t="s">
        <v>61</v>
      </c>
      <c r="E234" s="5">
        <f t="shared" si="3"/>
        <v>42370</v>
      </c>
      <c r="F234">
        <v>2016</v>
      </c>
      <c r="G234">
        <v>69.67</v>
      </c>
      <c r="H234">
        <v>12.9</v>
      </c>
      <c r="I234">
        <v>129.99999523162799</v>
      </c>
      <c r="J234">
        <v>6.4308881800000002</v>
      </c>
      <c r="K234">
        <v>5.1730399131774902</v>
      </c>
      <c r="L234">
        <v>13.894000053405801</v>
      </c>
      <c r="M234" t="s">
        <v>63</v>
      </c>
      <c r="N234">
        <v>30.17199252</v>
      </c>
      <c r="O234">
        <v>4170.6099999999997</v>
      </c>
      <c r="P234">
        <v>18418.71</v>
      </c>
      <c r="Q234">
        <v>31549.51</v>
      </c>
    </row>
    <row r="235" spans="1:17" x14ac:dyDescent="0.3">
      <c r="A235" t="s">
        <v>74</v>
      </c>
      <c r="B235" t="s">
        <v>75</v>
      </c>
      <c r="C235" t="s">
        <v>20</v>
      </c>
      <c r="D235" t="s">
        <v>59</v>
      </c>
      <c r="E235" s="5">
        <f t="shared" si="3"/>
        <v>42370</v>
      </c>
      <c r="F235">
        <v>2016</v>
      </c>
      <c r="G235">
        <v>53.438000000000002</v>
      </c>
      <c r="H235">
        <v>28.5</v>
      </c>
      <c r="I235">
        <v>2210.0000381469699</v>
      </c>
      <c r="J235">
        <v>5.0507750500000004</v>
      </c>
      <c r="K235">
        <v>2.2999999523162802</v>
      </c>
      <c r="L235">
        <v>1.1039999723434399</v>
      </c>
      <c r="M235" t="s">
        <v>56</v>
      </c>
      <c r="N235">
        <v>9.4846988579999998</v>
      </c>
      <c r="O235">
        <v>566362.82999999996</v>
      </c>
      <c r="P235">
        <v>8354586.2300000004</v>
      </c>
      <c r="Q235">
        <v>2256107.35</v>
      </c>
    </row>
    <row r="236" spans="1:17" x14ac:dyDescent="0.3">
      <c r="A236" t="s">
        <v>30</v>
      </c>
      <c r="B236" t="s">
        <v>77</v>
      </c>
      <c r="C236" t="s">
        <v>20</v>
      </c>
      <c r="D236" t="s">
        <v>59</v>
      </c>
      <c r="E236" s="5">
        <f t="shared" si="3"/>
        <v>42370</v>
      </c>
      <c r="F236">
        <v>2016</v>
      </c>
      <c r="G236">
        <v>60.22</v>
      </c>
      <c r="H236">
        <v>21.2</v>
      </c>
      <c r="I236">
        <v>2299.9999523162801</v>
      </c>
      <c r="J236">
        <v>5.35245514</v>
      </c>
      <c r="K236">
        <v>3.6864900588989302</v>
      </c>
      <c r="L236">
        <v>2.9660000801086399</v>
      </c>
      <c r="M236" t="s">
        <v>56</v>
      </c>
      <c r="N236">
        <v>8.5164270129999995</v>
      </c>
      <c r="O236">
        <v>241851.57</v>
      </c>
      <c r="P236">
        <v>2294813.98</v>
      </c>
      <c r="Q236">
        <v>1114774.54</v>
      </c>
    </row>
    <row r="237" spans="1:17" x14ac:dyDescent="0.3">
      <c r="A237" t="s">
        <v>29</v>
      </c>
      <c r="B237" t="s">
        <v>78</v>
      </c>
      <c r="C237" t="s">
        <v>20</v>
      </c>
      <c r="D237" t="s">
        <v>61</v>
      </c>
      <c r="E237" s="5">
        <f t="shared" si="3"/>
        <v>42370</v>
      </c>
      <c r="F237">
        <v>2016</v>
      </c>
      <c r="G237">
        <v>63.844000000000001</v>
      </c>
      <c r="H237">
        <v>22.7</v>
      </c>
      <c r="I237">
        <v>11199.9998092651</v>
      </c>
      <c r="J237">
        <v>3.9635036000000001</v>
      </c>
      <c r="K237">
        <v>4.1019701957702601</v>
      </c>
      <c r="L237">
        <v>2.1579999923706099</v>
      </c>
      <c r="M237" t="s">
        <v>54</v>
      </c>
      <c r="N237">
        <v>23.105933790000002</v>
      </c>
      <c r="O237">
        <v>1460702.22</v>
      </c>
      <c r="P237">
        <v>14726558.92</v>
      </c>
      <c r="Q237">
        <v>8051900.3700000001</v>
      </c>
    </row>
    <row r="238" spans="1:17" x14ac:dyDescent="0.3">
      <c r="A238" t="s">
        <v>13</v>
      </c>
      <c r="B238" t="s">
        <v>83</v>
      </c>
      <c r="C238" t="s">
        <v>15</v>
      </c>
      <c r="D238" t="s">
        <v>61</v>
      </c>
      <c r="E238" s="5">
        <f t="shared" si="3"/>
        <v>42370</v>
      </c>
      <c r="F238">
        <v>2016</v>
      </c>
      <c r="G238">
        <v>72.894999999999996</v>
      </c>
      <c r="H238">
        <v>4.7</v>
      </c>
      <c r="I238">
        <v>300.00001192092901</v>
      </c>
      <c r="J238">
        <v>5.4250021000000004</v>
      </c>
      <c r="K238">
        <v>4.1640601158142099</v>
      </c>
      <c r="L238">
        <v>8.3070001602172905</v>
      </c>
      <c r="M238" t="s">
        <v>81</v>
      </c>
      <c r="N238">
        <v>47.804642139999999</v>
      </c>
      <c r="O238">
        <v>6538.85</v>
      </c>
      <c r="P238">
        <v>8838.61</v>
      </c>
      <c r="Q238">
        <v>41984.04</v>
      </c>
    </row>
    <row r="239" spans="1:17" x14ac:dyDescent="0.3">
      <c r="A239" t="s">
        <v>21</v>
      </c>
      <c r="B239" t="s">
        <v>58</v>
      </c>
      <c r="C239" t="s">
        <v>20</v>
      </c>
      <c r="D239" t="s">
        <v>59</v>
      </c>
      <c r="E239" s="5">
        <f t="shared" si="3"/>
        <v>42736</v>
      </c>
      <c r="F239">
        <v>2017</v>
      </c>
      <c r="G239">
        <v>52.24</v>
      </c>
      <c r="H239">
        <v>46.1</v>
      </c>
      <c r="I239">
        <v>219.99999880790699</v>
      </c>
      <c r="J239">
        <v>6.6654377</v>
      </c>
      <c r="K239">
        <v>1.75365018844604</v>
      </c>
      <c r="L239">
        <v>5.6479997634887704</v>
      </c>
      <c r="M239" t="s">
        <v>56</v>
      </c>
      <c r="N239">
        <v>14.637592250000001</v>
      </c>
      <c r="O239">
        <v>518597.96</v>
      </c>
      <c r="P239">
        <v>3141782.06</v>
      </c>
      <c r="Q239">
        <v>970329.56</v>
      </c>
    </row>
    <row r="240" spans="1:17" x14ac:dyDescent="0.3">
      <c r="A240" t="s">
        <v>31</v>
      </c>
      <c r="B240" t="s">
        <v>60</v>
      </c>
      <c r="C240" t="s">
        <v>18</v>
      </c>
      <c r="D240" t="s">
        <v>61</v>
      </c>
      <c r="E240" s="5">
        <f t="shared" si="3"/>
        <v>42736</v>
      </c>
      <c r="F240">
        <v>2017</v>
      </c>
      <c r="G240">
        <v>65.893000000000001</v>
      </c>
      <c r="H240">
        <v>13.5</v>
      </c>
      <c r="I240">
        <v>419.99998688697798</v>
      </c>
      <c r="J240">
        <v>2.46476841</v>
      </c>
      <c r="K240">
        <v>3.7485599517822301</v>
      </c>
      <c r="L240">
        <v>26.059999465942401</v>
      </c>
      <c r="M240" t="s">
        <v>56</v>
      </c>
      <c r="N240">
        <v>35.43612633</v>
      </c>
      <c r="O240">
        <v>34283.22</v>
      </c>
      <c r="P240">
        <v>261281.81</v>
      </c>
      <c r="Q240">
        <v>170428.77</v>
      </c>
    </row>
    <row r="241" spans="1:17" x14ac:dyDescent="0.3">
      <c r="A241" t="s">
        <v>22</v>
      </c>
      <c r="B241" t="s">
        <v>80</v>
      </c>
      <c r="C241" t="s">
        <v>20</v>
      </c>
      <c r="D241" t="s">
        <v>59</v>
      </c>
      <c r="E241" s="5">
        <f t="shared" si="3"/>
        <v>42736</v>
      </c>
      <c r="F241">
        <v>2017</v>
      </c>
      <c r="G241">
        <v>65.872</v>
      </c>
      <c r="H241">
        <v>15.7</v>
      </c>
      <c r="I241">
        <v>15819.999694824201</v>
      </c>
      <c r="J241">
        <v>3.4533615100000001</v>
      </c>
      <c r="K241">
        <v>5.6495199203491202</v>
      </c>
      <c r="L241">
        <v>2.29900002479553</v>
      </c>
      <c r="M241" t="s">
        <v>54</v>
      </c>
      <c r="N241">
        <v>6.0743566920000003</v>
      </c>
      <c r="O241">
        <v>2836330.73</v>
      </c>
      <c r="P241">
        <v>23661556.530000001</v>
      </c>
      <c r="Q241">
        <v>12572982.27</v>
      </c>
    </row>
    <row r="242" spans="1:17" x14ac:dyDescent="0.3">
      <c r="A242" t="s">
        <v>23</v>
      </c>
      <c r="B242" t="s">
        <v>64</v>
      </c>
      <c r="C242" t="s">
        <v>20</v>
      </c>
      <c r="D242" t="s">
        <v>61</v>
      </c>
      <c r="E242" s="5">
        <f t="shared" si="3"/>
        <v>42736</v>
      </c>
      <c r="F242">
        <v>2017</v>
      </c>
      <c r="G242">
        <v>63.463000000000001</v>
      </c>
      <c r="H242">
        <v>7.1</v>
      </c>
      <c r="I242">
        <v>17010.0002288818</v>
      </c>
      <c r="J242">
        <v>3.3579633200000001</v>
      </c>
      <c r="K242">
        <v>3.53362989425659</v>
      </c>
      <c r="L242">
        <v>4.2199997901916504</v>
      </c>
      <c r="M242" t="s">
        <v>63</v>
      </c>
      <c r="N242">
        <v>11.93857292</v>
      </c>
      <c r="O242">
        <v>892797.03</v>
      </c>
      <c r="P242">
        <v>6911805.6799999997</v>
      </c>
      <c r="Q242">
        <v>4884650.97</v>
      </c>
    </row>
    <row r="243" spans="1:17" x14ac:dyDescent="0.3">
      <c r="A243" t="s">
        <v>10</v>
      </c>
      <c r="B243" t="s">
        <v>85</v>
      </c>
      <c r="C243" t="s">
        <v>17</v>
      </c>
      <c r="D243" t="s">
        <v>61</v>
      </c>
      <c r="E243" s="5">
        <f t="shared" si="3"/>
        <v>42736</v>
      </c>
      <c r="F243">
        <v>2017</v>
      </c>
      <c r="G243">
        <v>74.897999999999996</v>
      </c>
      <c r="H243">
        <v>13.2</v>
      </c>
      <c r="I243">
        <v>9260.0002288818396</v>
      </c>
      <c r="J243">
        <v>6.9899668699999999</v>
      </c>
      <c r="K243">
        <v>4.9370198249816903</v>
      </c>
      <c r="L243">
        <v>5.5300002098083496</v>
      </c>
      <c r="M243" t="s">
        <v>54</v>
      </c>
      <c r="N243">
        <v>48.559040799999998</v>
      </c>
      <c r="O243">
        <v>380152.5</v>
      </c>
      <c r="P243">
        <v>440876.25</v>
      </c>
      <c r="Q243">
        <v>1640631.66</v>
      </c>
    </row>
    <row r="244" spans="1:17" x14ac:dyDescent="0.3">
      <c r="A244" t="s">
        <v>33</v>
      </c>
      <c r="B244" t="s">
        <v>87</v>
      </c>
      <c r="C244" t="s">
        <v>15</v>
      </c>
      <c r="D244" t="s">
        <v>61</v>
      </c>
      <c r="E244" s="5">
        <f t="shared" si="3"/>
        <v>42736</v>
      </c>
      <c r="F244">
        <v>2017</v>
      </c>
      <c r="G244">
        <v>67.850999999999999</v>
      </c>
      <c r="H244">
        <v>3.4</v>
      </c>
      <c r="I244">
        <v>90.000003576278701</v>
      </c>
      <c r="J244">
        <v>10.68678665</v>
      </c>
      <c r="K244">
        <v>10.8631601333618</v>
      </c>
      <c r="M244" t="s">
        <v>63</v>
      </c>
      <c r="N244">
        <v>25.67971129</v>
      </c>
      <c r="O244">
        <v>4732.54</v>
      </c>
      <c r="P244">
        <v>16588.61</v>
      </c>
      <c r="Q244">
        <v>35198.730000000003</v>
      </c>
    </row>
    <row r="245" spans="1:17" x14ac:dyDescent="0.3">
      <c r="A245" t="s">
        <v>66</v>
      </c>
      <c r="B245" t="s">
        <v>67</v>
      </c>
      <c r="C245" t="s">
        <v>20</v>
      </c>
      <c r="D245" t="s">
        <v>61</v>
      </c>
      <c r="E245" s="5">
        <f t="shared" si="3"/>
        <v>42736</v>
      </c>
      <c r="F245">
        <v>2017</v>
      </c>
      <c r="G245">
        <v>52.947000000000003</v>
      </c>
      <c r="H245">
        <v>29.5</v>
      </c>
      <c r="I245">
        <v>699.99998807907104</v>
      </c>
      <c r="J245">
        <v>10.08778667</v>
      </c>
      <c r="K245">
        <v>8.1568899154663104</v>
      </c>
      <c r="L245">
        <v>23.200000762939499</v>
      </c>
      <c r="M245" t="s">
        <v>54</v>
      </c>
      <c r="N245">
        <v>42.146562809999999</v>
      </c>
      <c r="O245">
        <v>168813.85</v>
      </c>
      <c r="P245">
        <v>1074969.92</v>
      </c>
      <c r="Q245">
        <v>445954.55</v>
      </c>
    </row>
    <row r="246" spans="1:17" x14ac:dyDescent="0.3">
      <c r="A246" t="s">
        <v>24</v>
      </c>
      <c r="B246" t="s">
        <v>68</v>
      </c>
      <c r="C246" t="s">
        <v>20</v>
      </c>
      <c r="D246" t="s">
        <v>59</v>
      </c>
      <c r="E246" s="5">
        <f t="shared" si="3"/>
        <v>42736</v>
      </c>
      <c r="F246">
        <v>2017</v>
      </c>
      <c r="G246">
        <v>66.311000000000007</v>
      </c>
      <c r="H246">
        <v>42.3</v>
      </c>
      <c r="I246">
        <v>3470.0000286102299</v>
      </c>
      <c r="J246">
        <v>4.8443155300000003</v>
      </c>
      <c r="K246">
        <v>2.7013742923736599</v>
      </c>
      <c r="L246">
        <v>1.8229999542236299</v>
      </c>
      <c r="M246" t="s">
        <v>56</v>
      </c>
      <c r="N246">
        <v>9.4073083610000001</v>
      </c>
      <c r="O246">
        <v>590791.34</v>
      </c>
      <c r="P246">
        <v>6324134.1699999999</v>
      </c>
      <c r="Q246">
        <v>3854013.73</v>
      </c>
    </row>
    <row r="247" spans="1:17" x14ac:dyDescent="0.3">
      <c r="A247" t="s">
        <v>25</v>
      </c>
      <c r="B247" t="s">
        <v>69</v>
      </c>
      <c r="C247" t="s">
        <v>20</v>
      </c>
      <c r="D247" t="s">
        <v>59</v>
      </c>
      <c r="E247" s="5">
        <f t="shared" si="3"/>
        <v>42736</v>
      </c>
      <c r="F247">
        <v>2017</v>
      </c>
      <c r="G247">
        <v>58.451999999999998</v>
      </c>
      <c r="H247">
        <v>3.1</v>
      </c>
      <c r="I247">
        <v>5179.9998283386203</v>
      </c>
      <c r="J247">
        <v>3.67425632</v>
      </c>
      <c r="K247">
        <v>3.7897698879241899</v>
      </c>
      <c r="L247">
        <v>7.4099998474121103</v>
      </c>
      <c r="M247" t="s">
        <v>54</v>
      </c>
      <c r="N247">
        <v>17.827597770000001</v>
      </c>
      <c r="O247">
        <v>861303.54</v>
      </c>
      <c r="P247">
        <v>10455713.77</v>
      </c>
      <c r="Q247">
        <v>3330760.45</v>
      </c>
    </row>
    <row r="248" spans="1:17" x14ac:dyDescent="0.3">
      <c r="A248" t="s">
        <v>35</v>
      </c>
      <c r="B248" t="s">
        <v>88</v>
      </c>
      <c r="C248" t="s">
        <v>15</v>
      </c>
      <c r="D248" t="s">
        <v>61</v>
      </c>
      <c r="E248" s="5">
        <f t="shared" si="3"/>
        <v>42736</v>
      </c>
      <c r="F248">
        <v>2017</v>
      </c>
      <c r="G248">
        <v>66.558000000000007</v>
      </c>
      <c r="H248">
        <v>3</v>
      </c>
      <c r="I248">
        <v>32500</v>
      </c>
      <c r="J248">
        <v>5.0806574800000002</v>
      </c>
      <c r="K248">
        <v>2.3263399600982702</v>
      </c>
      <c r="L248">
        <v>1.5599999427795399</v>
      </c>
      <c r="M248" t="s">
        <v>56</v>
      </c>
      <c r="N248">
        <v>60.858049389999998</v>
      </c>
      <c r="O248">
        <v>2327896.89</v>
      </c>
      <c r="P248">
        <v>5517990.29</v>
      </c>
      <c r="Q248">
        <v>12423589.640000001</v>
      </c>
    </row>
    <row r="249" spans="1:17" x14ac:dyDescent="0.3">
      <c r="A249" t="s">
        <v>11</v>
      </c>
      <c r="B249" t="s">
        <v>82</v>
      </c>
      <c r="C249" t="s">
        <v>15</v>
      </c>
      <c r="D249" t="s">
        <v>61</v>
      </c>
      <c r="E249" s="5">
        <f t="shared" si="3"/>
        <v>42736</v>
      </c>
      <c r="F249">
        <v>2017</v>
      </c>
      <c r="G249">
        <v>69.509</v>
      </c>
      <c r="H249">
        <v>6.3</v>
      </c>
      <c r="I249">
        <v>19579.999923706098</v>
      </c>
      <c r="J249">
        <v>4.0050602</v>
      </c>
      <c r="K249">
        <v>4.06897020339966</v>
      </c>
      <c r="L249">
        <v>6.3600001335143999</v>
      </c>
      <c r="M249" t="s">
        <v>63</v>
      </c>
      <c r="N249">
        <v>51.495918449999998</v>
      </c>
      <c r="O249">
        <v>173870.3</v>
      </c>
      <c r="P249">
        <v>174769.06</v>
      </c>
      <c r="Q249">
        <v>788018.91</v>
      </c>
    </row>
    <row r="250" spans="1:17" x14ac:dyDescent="0.3">
      <c r="A250" t="s">
        <v>34</v>
      </c>
      <c r="B250" t="s">
        <v>86</v>
      </c>
      <c r="C250" t="s">
        <v>20</v>
      </c>
      <c r="D250" t="s">
        <v>59</v>
      </c>
      <c r="E250" s="5">
        <f t="shared" si="3"/>
        <v>42736</v>
      </c>
      <c r="F250">
        <v>2017</v>
      </c>
      <c r="G250">
        <v>63.279000000000003</v>
      </c>
      <c r="H250">
        <v>16.600000000000001</v>
      </c>
      <c r="I250">
        <v>1190.0000572204599</v>
      </c>
      <c r="J250">
        <v>10.88755989</v>
      </c>
      <c r="K250">
        <v>4.0313301086425799</v>
      </c>
      <c r="L250">
        <v>5.7600002288818404</v>
      </c>
      <c r="M250" t="s">
        <v>56</v>
      </c>
      <c r="N250">
        <v>23.45407277</v>
      </c>
      <c r="O250">
        <v>406598.03</v>
      </c>
      <c r="P250">
        <v>4948217.6399999997</v>
      </c>
      <c r="Q250">
        <v>2389662.7599999998</v>
      </c>
    </row>
    <row r="251" spans="1:17" x14ac:dyDescent="0.3">
      <c r="A251" t="s">
        <v>12</v>
      </c>
      <c r="B251" t="s">
        <v>70</v>
      </c>
      <c r="C251" t="s">
        <v>19</v>
      </c>
      <c r="D251" t="s">
        <v>61</v>
      </c>
      <c r="E251" s="5">
        <f t="shared" si="3"/>
        <v>42736</v>
      </c>
      <c r="F251">
        <v>2017</v>
      </c>
      <c r="G251">
        <v>70.168999999999997</v>
      </c>
      <c r="H251">
        <v>4.2</v>
      </c>
      <c r="I251">
        <v>12479.999542236301</v>
      </c>
      <c r="J251">
        <v>4.72173262</v>
      </c>
      <c r="K251">
        <v>4.7672200202941903</v>
      </c>
      <c r="L251">
        <v>3.3180000782012899</v>
      </c>
      <c r="M251" t="s">
        <v>54</v>
      </c>
      <c r="N251">
        <v>41.115479700000002</v>
      </c>
      <c r="O251">
        <v>885689.55</v>
      </c>
      <c r="P251">
        <v>2954273.69</v>
      </c>
      <c r="Q251">
        <v>5479328.3200000003</v>
      </c>
    </row>
    <row r="252" spans="1:17" x14ac:dyDescent="0.3">
      <c r="A252" t="s">
        <v>27</v>
      </c>
      <c r="B252" t="s">
        <v>71</v>
      </c>
      <c r="C252" t="s">
        <v>20</v>
      </c>
      <c r="D252" t="s">
        <v>61</v>
      </c>
      <c r="E252" s="5">
        <f t="shared" si="3"/>
        <v>42736</v>
      </c>
      <c r="F252">
        <v>2017</v>
      </c>
      <c r="G252">
        <v>67.38</v>
      </c>
      <c r="H252">
        <v>8.5</v>
      </c>
      <c r="I252">
        <v>9800.0001907348596</v>
      </c>
      <c r="J252">
        <v>3.9970748399999998</v>
      </c>
      <c r="K252">
        <v>4.6249699592590297</v>
      </c>
      <c r="L252">
        <v>3.6900000572204599</v>
      </c>
      <c r="M252" t="s">
        <v>63</v>
      </c>
      <c r="N252">
        <v>22.35530807</v>
      </c>
      <c r="O252">
        <v>344250.34</v>
      </c>
      <c r="P252">
        <v>3144770.08</v>
      </c>
      <c r="Q252">
        <v>2177014.17</v>
      </c>
    </row>
    <row r="253" spans="1:17" x14ac:dyDescent="0.3">
      <c r="A253" t="s">
        <v>28</v>
      </c>
      <c r="B253" t="s">
        <v>72</v>
      </c>
      <c r="C253" t="s">
        <v>20</v>
      </c>
      <c r="D253" t="s">
        <v>59</v>
      </c>
      <c r="E253" s="5">
        <f t="shared" si="3"/>
        <v>42736</v>
      </c>
      <c r="F253">
        <v>2017</v>
      </c>
      <c r="G253">
        <v>53.895000000000003</v>
      </c>
      <c r="H253">
        <v>27.2</v>
      </c>
      <c r="I253">
        <v>939.99999761581398</v>
      </c>
      <c r="J253">
        <v>9.3997602499999999</v>
      </c>
      <c r="K253">
        <v>4.6609601974487296</v>
      </c>
      <c r="L253">
        <v>4.6630001068115199</v>
      </c>
      <c r="M253" t="s">
        <v>54</v>
      </c>
      <c r="N253">
        <v>13.24676127</v>
      </c>
      <c r="O253">
        <v>370362.06</v>
      </c>
      <c r="P253">
        <v>3212165.46</v>
      </c>
      <c r="Q253">
        <v>1345818.13</v>
      </c>
    </row>
    <row r="254" spans="1:17" x14ac:dyDescent="0.3">
      <c r="A254" t="s">
        <v>26</v>
      </c>
      <c r="B254" t="s">
        <v>73</v>
      </c>
      <c r="C254" t="s">
        <v>20</v>
      </c>
      <c r="D254" t="s">
        <v>61</v>
      </c>
      <c r="E254" s="5">
        <f t="shared" si="3"/>
        <v>42736</v>
      </c>
      <c r="F254">
        <v>2017</v>
      </c>
      <c r="G254">
        <v>69.933000000000007</v>
      </c>
      <c r="H254">
        <v>12.5</v>
      </c>
      <c r="I254">
        <v>140.00000059604599</v>
      </c>
      <c r="J254">
        <v>6.4609160399999999</v>
      </c>
      <c r="K254">
        <v>5.0363698005676296</v>
      </c>
      <c r="L254">
        <v>13.9739999771118</v>
      </c>
      <c r="M254" t="s">
        <v>63</v>
      </c>
      <c r="N254">
        <v>31.291807739999999</v>
      </c>
      <c r="O254">
        <v>4243.95</v>
      </c>
      <c r="P254">
        <v>17406.41</v>
      </c>
      <c r="Q254">
        <v>32227.24</v>
      </c>
    </row>
    <row r="255" spans="1:17" x14ac:dyDescent="0.3">
      <c r="A255" t="s">
        <v>74</v>
      </c>
      <c r="B255" t="s">
        <v>75</v>
      </c>
      <c r="C255" t="s">
        <v>20</v>
      </c>
      <c r="D255" t="s">
        <v>59</v>
      </c>
      <c r="E255" s="5">
        <f t="shared" si="3"/>
        <v>42736</v>
      </c>
      <c r="F255">
        <v>2017</v>
      </c>
      <c r="G255">
        <v>53.712000000000003</v>
      </c>
      <c r="H255">
        <v>29.1</v>
      </c>
      <c r="I255">
        <v>2150.0000953674298</v>
      </c>
      <c r="J255">
        <v>4.5572290400000002</v>
      </c>
      <c r="K255">
        <v>2.4548199176788299</v>
      </c>
      <c r="L255">
        <v>1.1189999580383301</v>
      </c>
      <c r="M255" t="s">
        <v>56</v>
      </c>
      <c r="N255">
        <v>9.6257690720000006</v>
      </c>
      <c r="O255">
        <v>583681.28000000003</v>
      </c>
      <c r="P255">
        <v>8435895.8399999999</v>
      </c>
      <c r="Q255">
        <v>2323389.14</v>
      </c>
    </row>
    <row r="256" spans="1:17" x14ac:dyDescent="0.3">
      <c r="A256" t="s">
        <v>30</v>
      </c>
      <c r="B256" t="s">
        <v>77</v>
      </c>
      <c r="C256" t="s">
        <v>20</v>
      </c>
      <c r="D256" t="s">
        <v>59</v>
      </c>
      <c r="E256" s="5">
        <f t="shared" si="3"/>
        <v>42736</v>
      </c>
      <c r="F256">
        <v>2017</v>
      </c>
      <c r="G256">
        <v>60.488999999999997</v>
      </c>
      <c r="H256">
        <v>21</v>
      </c>
      <c r="I256">
        <v>2069.9999332428001</v>
      </c>
      <c r="J256">
        <v>6.4938774099999996</v>
      </c>
      <c r="K256">
        <v>3.7605299949646001</v>
      </c>
      <c r="L256">
        <v>3.7400000095367401</v>
      </c>
      <c r="M256" t="s">
        <v>54</v>
      </c>
      <c r="N256">
        <v>8.7118463930000001</v>
      </c>
      <c r="O256">
        <v>247347.61</v>
      </c>
      <c r="P256">
        <v>2173030.66</v>
      </c>
      <c r="Q256">
        <v>1146840.78</v>
      </c>
    </row>
    <row r="257" spans="1:17" x14ac:dyDescent="0.3">
      <c r="A257" t="s">
        <v>29</v>
      </c>
      <c r="B257" t="s">
        <v>78</v>
      </c>
      <c r="C257" t="s">
        <v>20</v>
      </c>
      <c r="D257" t="s">
        <v>61</v>
      </c>
      <c r="E257" s="5">
        <f t="shared" si="3"/>
        <v>42736</v>
      </c>
      <c r="F257">
        <v>2017</v>
      </c>
      <c r="G257">
        <v>64.478999999999999</v>
      </c>
      <c r="H257">
        <v>23</v>
      </c>
      <c r="I257">
        <v>11829.9999237061</v>
      </c>
      <c r="J257">
        <v>4.0825743699999997</v>
      </c>
      <c r="K257">
        <v>4.4305100440979004</v>
      </c>
      <c r="L257">
        <v>2.1770000457763699</v>
      </c>
      <c r="M257" t="s">
        <v>54</v>
      </c>
      <c r="N257">
        <v>24.144986899999999</v>
      </c>
      <c r="O257">
        <v>1483112.46</v>
      </c>
      <c r="P257">
        <v>14333067.67</v>
      </c>
      <c r="Q257">
        <v>8207830.2999999998</v>
      </c>
    </row>
    <row r="258" spans="1:17" x14ac:dyDescent="0.3">
      <c r="A258" t="s">
        <v>13</v>
      </c>
      <c r="B258" t="s">
        <v>83</v>
      </c>
      <c r="C258" t="s">
        <v>15</v>
      </c>
      <c r="D258" t="s">
        <v>61</v>
      </c>
      <c r="E258" s="5">
        <f t="shared" ref="E258:E296" si="4">DATE(F258,1,1)</f>
        <v>42736</v>
      </c>
      <c r="F258">
        <v>2017</v>
      </c>
      <c r="G258">
        <v>73.046000000000006</v>
      </c>
      <c r="H258">
        <v>4.5999999999999996</v>
      </c>
      <c r="I258">
        <v>310.00000238418602</v>
      </c>
      <c r="J258">
        <v>5.5675072700000001</v>
      </c>
      <c r="K258">
        <v>4.1831598281860396</v>
      </c>
      <c r="L258">
        <v>8.5780000686645508</v>
      </c>
      <c r="M258" t="s">
        <v>81</v>
      </c>
      <c r="N258">
        <v>47.740110090000002</v>
      </c>
      <c r="O258">
        <v>6621.84</v>
      </c>
      <c r="P258">
        <v>8848.15</v>
      </c>
      <c r="Q258">
        <v>42609.98</v>
      </c>
    </row>
    <row r="259" spans="1:17" x14ac:dyDescent="0.3">
      <c r="A259" t="s">
        <v>21</v>
      </c>
      <c r="B259" t="s">
        <v>58</v>
      </c>
      <c r="C259" t="s">
        <v>20</v>
      </c>
      <c r="D259" t="s">
        <v>59</v>
      </c>
      <c r="E259" s="5">
        <f t="shared" si="4"/>
        <v>43101</v>
      </c>
      <c r="F259">
        <v>2018</v>
      </c>
      <c r="G259">
        <v>52.805</v>
      </c>
      <c r="H259">
        <v>46.8</v>
      </c>
      <c r="I259">
        <v>230.00000417232499</v>
      </c>
      <c r="J259">
        <v>10.99530983</v>
      </c>
      <c r="K259">
        <v>1.5658760070800799</v>
      </c>
      <c r="L259">
        <v>5.6050000190734899</v>
      </c>
      <c r="M259" t="s">
        <v>56</v>
      </c>
      <c r="N259">
        <v>14.290697059999999</v>
      </c>
      <c r="O259">
        <v>422377.57</v>
      </c>
      <c r="P259">
        <v>3068867.31</v>
      </c>
      <c r="Q259">
        <v>985014.99</v>
      </c>
    </row>
    <row r="260" spans="1:17" x14ac:dyDescent="0.3">
      <c r="A260" t="s">
        <v>31</v>
      </c>
      <c r="B260" t="s">
        <v>60</v>
      </c>
      <c r="C260" t="s">
        <v>18</v>
      </c>
      <c r="D260" t="s">
        <v>61</v>
      </c>
      <c r="E260" s="5">
        <f t="shared" si="4"/>
        <v>43101</v>
      </c>
      <c r="F260">
        <v>2018</v>
      </c>
      <c r="G260">
        <v>66.581999999999994</v>
      </c>
      <c r="H260">
        <v>13.1</v>
      </c>
      <c r="I260">
        <v>400.00000596046402</v>
      </c>
      <c r="J260">
        <v>2.26254249</v>
      </c>
      <c r="K260">
        <v>3.62773990631104</v>
      </c>
      <c r="L260">
        <v>26.188999176025401</v>
      </c>
      <c r="M260" t="s">
        <v>56</v>
      </c>
      <c r="N260">
        <v>36.24306807</v>
      </c>
      <c r="O260">
        <v>35176.17</v>
      </c>
      <c r="P260">
        <v>250590.33</v>
      </c>
      <c r="Q260">
        <v>176511.42</v>
      </c>
    </row>
    <row r="261" spans="1:17" x14ac:dyDescent="0.3">
      <c r="A261" t="s">
        <v>22</v>
      </c>
      <c r="B261" t="s">
        <v>80</v>
      </c>
      <c r="C261" t="s">
        <v>20</v>
      </c>
      <c r="D261" t="s">
        <v>59</v>
      </c>
      <c r="E261" s="5">
        <f t="shared" si="4"/>
        <v>43101</v>
      </c>
      <c r="F261">
        <v>2018</v>
      </c>
      <c r="G261">
        <v>66.239999999999995</v>
      </c>
      <c r="H261">
        <v>18.2</v>
      </c>
      <c r="I261">
        <v>17239.9997711182</v>
      </c>
      <c r="J261">
        <v>3.3081870100000002</v>
      </c>
      <c r="K261">
        <v>5.0686798095703098</v>
      </c>
      <c r="L261">
        <v>2.3180000782012899</v>
      </c>
      <c r="M261" t="s">
        <v>54</v>
      </c>
      <c r="N261">
        <v>6.2790536159999997</v>
      </c>
      <c r="O261">
        <v>2880294.65</v>
      </c>
      <c r="P261">
        <v>22770405.219999999</v>
      </c>
      <c r="Q261">
        <v>12862187.57</v>
      </c>
    </row>
    <row r="262" spans="1:17" x14ac:dyDescent="0.3">
      <c r="A262" t="s">
        <v>23</v>
      </c>
      <c r="B262" t="s">
        <v>64</v>
      </c>
      <c r="C262" t="s">
        <v>20</v>
      </c>
      <c r="D262" t="s">
        <v>61</v>
      </c>
      <c r="E262" s="5">
        <f t="shared" si="4"/>
        <v>43101</v>
      </c>
      <c r="F262">
        <v>2018</v>
      </c>
      <c r="G262">
        <v>63.78</v>
      </c>
      <c r="H262">
        <v>6.2</v>
      </c>
      <c r="I262">
        <v>18680.000305175799</v>
      </c>
      <c r="J262">
        <v>3.48865867</v>
      </c>
      <c r="K262">
        <v>3.8861300945282</v>
      </c>
      <c r="L262">
        <v>4.27600002288818</v>
      </c>
      <c r="M262" t="s">
        <v>63</v>
      </c>
      <c r="N262">
        <v>12.4033639</v>
      </c>
      <c r="O262">
        <v>866262.23</v>
      </c>
      <c r="P262">
        <v>6647801.5899999999</v>
      </c>
      <c r="Q262">
        <v>4906354.3</v>
      </c>
    </row>
    <row r="263" spans="1:17" x14ac:dyDescent="0.3">
      <c r="A263" t="s">
        <v>10</v>
      </c>
      <c r="B263" t="s">
        <v>85</v>
      </c>
      <c r="C263" t="s">
        <v>17</v>
      </c>
      <c r="D263" t="s">
        <v>61</v>
      </c>
      <c r="E263" s="5">
        <f t="shared" si="4"/>
        <v>43101</v>
      </c>
      <c r="F263">
        <v>2018</v>
      </c>
      <c r="G263">
        <v>75.087999999999994</v>
      </c>
      <c r="H263">
        <v>13.1</v>
      </c>
      <c r="I263">
        <v>10050.0001907349</v>
      </c>
      <c r="J263">
        <v>7.2189197500000004</v>
      </c>
      <c r="K263">
        <v>6.0564699172973597</v>
      </c>
      <c r="L263">
        <v>5.6500000953674299</v>
      </c>
      <c r="M263" t="s">
        <v>54</v>
      </c>
      <c r="N263">
        <v>48.945527300000002</v>
      </c>
      <c r="O263">
        <v>385545.09</v>
      </c>
      <c r="P263">
        <v>434515.72</v>
      </c>
      <c r="Q263">
        <v>1682928.09</v>
      </c>
    </row>
    <row r="264" spans="1:17" x14ac:dyDescent="0.3">
      <c r="A264" t="s">
        <v>33</v>
      </c>
      <c r="B264" t="s">
        <v>87</v>
      </c>
      <c r="C264" t="s">
        <v>15</v>
      </c>
      <c r="D264" t="s">
        <v>61</v>
      </c>
      <c r="E264" s="5">
        <f t="shared" si="4"/>
        <v>43101</v>
      </c>
      <c r="F264">
        <v>2018</v>
      </c>
      <c r="G264">
        <v>68.116</v>
      </c>
      <c r="H264">
        <v>3.9</v>
      </c>
      <c r="I264">
        <v>90.000003576278701</v>
      </c>
      <c r="J264">
        <v>11.6983633</v>
      </c>
      <c r="K264">
        <v>11.968290328979499</v>
      </c>
      <c r="M264" t="s">
        <v>63</v>
      </c>
      <c r="N264">
        <v>26.027003359999998</v>
      </c>
      <c r="O264">
        <v>9076.5499999999993</v>
      </c>
      <c r="P264">
        <v>16230.91</v>
      </c>
      <c r="Q264">
        <v>35768.49</v>
      </c>
    </row>
    <row r="265" spans="1:17" x14ac:dyDescent="0.3">
      <c r="A265" t="s">
        <v>66</v>
      </c>
      <c r="B265" t="s">
        <v>67</v>
      </c>
      <c r="C265" t="s">
        <v>20</v>
      </c>
      <c r="D265" t="s">
        <v>61</v>
      </c>
      <c r="E265" s="5">
        <f t="shared" si="4"/>
        <v>43101</v>
      </c>
      <c r="F265">
        <v>2018</v>
      </c>
      <c r="G265">
        <v>53.704999999999998</v>
      </c>
      <c r="H265">
        <v>28.7</v>
      </c>
      <c r="I265">
        <v>730.00001907348599</v>
      </c>
      <c r="J265">
        <v>10.90125179</v>
      </c>
      <c r="K265">
        <v>7.2853598594665501</v>
      </c>
      <c r="L265">
        <v>22.8129997253418</v>
      </c>
      <c r="M265" t="s">
        <v>54</v>
      </c>
      <c r="N265">
        <v>43.995229969999997</v>
      </c>
      <c r="O265">
        <v>169577.15</v>
      </c>
      <c r="P265">
        <v>1037925.42</v>
      </c>
      <c r="Q265">
        <v>448950.43</v>
      </c>
    </row>
    <row r="266" spans="1:17" x14ac:dyDescent="0.3">
      <c r="A266" t="s">
        <v>24</v>
      </c>
      <c r="B266" t="s">
        <v>68</v>
      </c>
      <c r="C266" t="s">
        <v>20</v>
      </c>
      <c r="D266" t="s">
        <v>59</v>
      </c>
      <c r="E266" s="5">
        <f t="shared" si="4"/>
        <v>43101</v>
      </c>
      <c r="F266">
        <v>2018</v>
      </c>
      <c r="G266">
        <v>66.680999999999997</v>
      </c>
      <c r="H266">
        <v>44.3</v>
      </c>
      <c r="I266">
        <v>3349.9999046325702</v>
      </c>
      <c r="J266">
        <v>4.1978731199999997</v>
      </c>
      <c r="K266">
        <v>2.8440999984741202</v>
      </c>
      <c r="L266">
        <v>1.84300005435944</v>
      </c>
      <c r="M266" t="s">
        <v>56</v>
      </c>
      <c r="N266">
        <v>9.7340575660000006</v>
      </c>
      <c r="O266">
        <v>596802.28</v>
      </c>
      <c r="P266">
        <v>6206243.9100000001</v>
      </c>
      <c r="Q266">
        <v>3952185.36</v>
      </c>
    </row>
    <row r="267" spans="1:17" x14ac:dyDescent="0.3">
      <c r="A267" t="s">
        <v>25</v>
      </c>
      <c r="B267" t="s">
        <v>69</v>
      </c>
      <c r="C267" t="s">
        <v>20</v>
      </c>
      <c r="D267" t="s">
        <v>59</v>
      </c>
      <c r="E267" s="5">
        <f t="shared" si="4"/>
        <v>43101</v>
      </c>
      <c r="F267">
        <v>2018</v>
      </c>
      <c r="G267">
        <v>58.893000000000001</v>
      </c>
      <c r="H267">
        <v>3.4</v>
      </c>
      <c r="I267">
        <v>5469.9997901916504</v>
      </c>
      <c r="J267">
        <v>3.7324986500000001</v>
      </c>
      <c r="K267">
        <v>3.9055650234222399</v>
      </c>
      <c r="L267">
        <v>7.42799997329712</v>
      </c>
      <c r="M267" t="s">
        <v>54</v>
      </c>
      <c r="N267">
        <v>18.532570960000001</v>
      </c>
      <c r="O267">
        <v>959531.67</v>
      </c>
      <c r="P267">
        <v>10432991.119999999</v>
      </c>
      <c r="Q267">
        <v>3408505.59</v>
      </c>
    </row>
    <row r="268" spans="1:17" x14ac:dyDescent="0.3">
      <c r="A268" t="s">
        <v>35</v>
      </c>
      <c r="B268" t="s">
        <v>88</v>
      </c>
      <c r="C268" t="s">
        <v>15</v>
      </c>
      <c r="D268" t="s">
        <v>61</v>
      </c>
      <c r="E268" s="5">
        <f t="shared" si="4"/>
        <v>43101</v>
      </c>
      <c r="F268">
        <v>2018</v>
      </c>
      <c r="G268">
        <v>66.867000000000004</v>
      </c>
      <c r="H268">
        <v>2.6</v>
      </c>
      <c r="I268">
        <v>32939.998626708999</v>
      </c>
      <c r="J268">
        <v>4.8999214200000001</v>
      </c>
      <c r="K268">
        <v>2.1574800014495898</v>
      </c>
      <c r="L268">
        <v>0.87000000476837203</v>
      </c>
      <c r="M268" t="s">
        <v>56</v>
      </c>
      <c r="N268">
        <v>60.815724090000003</v>
      </c>
      <c r="O268">
        <v>1727609.25</v>
      </c>
      <c r="P268">
        <v>5230015.4800000004</v>
      </c>
      <c r="Q268">
        <v>12563638.49</v>
      </c>
    </row>
    <row r="269" spans="1:17" x14ac:dyDescent="0.3">
      <c r="A269" t="s">
        <v>11</v>
      </c>
      <c r="B269" t="s">
        <v>82</v>
      </c>
      <c r="C269" t="s">
        <v>15</v>
      </c>
      <c r="D269" t="s">
        <v>61</v>
      </c>
      <c r="E269" s="5">
        <f t="shared" si="4"/>
        <v>43101</v>
      </c>
      <c r="F269">
        <v>2018</v>
      </c>
      <c r="G269">
        <v>69.688999999999993</v>
      </c>
      <c r="H269">
        <v>5.5</v>
      </c>
      <c r="I269">
        <v>21549.9992370605</v>
      </c>
      <c r="J269">
        <v>3.85443377</v>
      </c>
      <c r="K269">
        <v>6.1730198860168501</v>
      </c>
      <c r="L269">
        <v>5.3800001144409197</v>
      </c>
      <c r="M269" t="s">
        <v>54</v>
      </c>
      <c r="N269">
        <v>53.00287453</v>
      </c>
      <c r="O269">
        <v>174178.57</v>
      </c>
      <c r="P269">
        <v>168161.18</v>
      </c>
      <c r="Q269">
        <v>810397.74</v>
      </c>
    </row>
    <row r="270" spans="1:17" x14ac:dyDescent="0.3">
      <c r="A270" t="s">
        <v>34</v>
      </c>
      <c r="B270" t="s">
        <v>86</v>
      </c>
      <c r="C270" t="s">
        <v>20</v>
      </c>
      <c r="D270" t="s">
        <v>59</v>
      </c>
      <c r="E270" s="5">
        <f t="shared" si="4"/>
        <v>43101</v>
      </c>
      <c r="F270">
        <v>2018</v>
      </c>
      <c r="G270">
        <v>63.798000000000002</v>
      </c>
      <c r="H270">
        <v>16.8</v>
      </c>
      <c r="I270">
        <v>1379.99999523163</v>
      </c>
      <c r="J270">
        <v>9.8289899799999993</v>
      </c>
      <c r="K270">
        <v>3.3229598999023402</v>
      </c>
      <c r="L270">
        <v>5.7579998970031703</v>
      </c>
      <c r="M270" t="s">
        <v>56</v>
      </c>
      <c r="N270">
        <v>23.706631770000001</v>
      </c>
      <c r="O270">
        <v>414839.88</v>
      </c>
      <c r="P270">
        <v>4705368.8899999997</v>
      </c>
      <c r="Q270">
        <v>2456336.86</v>
      </c>
    </row>
    <row r="271" spans="1:17" x14ac:dyDescent="0.3">
      <c r="A271" t="s">
        <v>12</v>
      </c>
      <c r="B271" t="s">
        <v>70</v>
      </c>
      <c r="C271" t="s">
        <v>19</v>
      </c>
      <c r="D271" t="s">
        <v>61</v>
      </c>
      <c r="E271" s="5">
        <f t="shared" si="4"/>
        <v>43101</v>
      </c>
      <c r="F271">
        <v>2018</v>
      </c>
      <c r="G271">
        <v>70.477999999999994</v>
      </c>
      <c r="H271">
        <v>4.3</v>
      </c>
      <c r="I271">
        <v>15189.999580383301</v>
      </c>
      <c r="J271">
        <v>4.5284523999999999</v>
      </c>
      <c r="K271">
        <v>4.4344501495361301</v>
      </c>
      <c r="L271">
        <v>3.1930000782012899</v>
      </c>
      <c r="M271" t="s">
        <v>54</v>
      </c>
      <c r="N271">
        <v>43.298518909999999</v>
      </c>
      <c r="O271">
        <v>879337.45</v>
      </c>
      <c r="P271">
        <v>2828672.94</v>
      </c>
      <c r="Q271">
        <v>5582374.8399999999</v>
      </c>
    </row>
    <row r="272" spans="1:17" x14ac:dyDescent="0.3">
      <c r="A272" t="s">
        <v>27</v>
      </c>
      <c r="B272" t="s">
        <v>71</v>
      </c>
      <c r="C272" t="s">
        <v>20</v>
      </c>
      <c r="D272" t="s">
        <v>61</v>
      </c>
      <c r="E272" s="5">
        <f t="shared" si="4"/>
        <v>43101</v>
      </c>
      <c r="F272">
        <v>2018</v>
      </c>
      <c r="G272">
        <v>67.665000000000006</v>
      </c>
      <c r="H272">
        <v>7.8</v>
      </c>
      <c r="I272">
        <v>10180.000305175799</v>
      </c>
      <c r="J272">
        <v>4.2382574100000001</v>
      </c>
      <c r="K272">
        <v>4.8582201004028303</v>
      </c>
      <c r="L272">
        <v>3.2750000953674299</v>
      </c>
      <c r="M272" t="s">
        <v>63</v>
      </c>
      <c r="N272">
        <v>23.055708889999998</v>
      </c>
      <c r="O272">
        <v>336993.39</v>
      </c>
      <c r="P272">
        <v>3019433.1</v>
      </c>
      <c r="Q272">
        <v>2179622.92</v>
      </c>
    </row>
    <row r="273" spans="1:17" x14ac:dyDescent="0.3">
      <c r="A273" t="s">
        <v>28</v>
      </c>
      <c r="B273" t="s">
        <v>72</v>
      </c>
      <c r="C273" t="s">
        <v>20</v>
      </c>
      <c r="D273" t="s">
        <v>59</v>
      </c>
      <c r="E273" s="5">
        <f t="shared" si="4"/>
        <v>43101</v>
      </c>
      <c r="F273">
        <v>2018</v>
      </c>
      <c r="G273">
        <v>54.308999999999997</v>
      </c>
      <c r="H273">
        <v>27.7</v>
      </c>
      <c r="I273">
        <v>860.00001430511497</v>
      </c>
      <c r="J273">
        <v>8.2898740800000006</v>
      </c>
      <c r="K273">
        <v>6.9896302223205602</v>
      </c>
      <c r="L273">
        <v>4.6599998474121103</v>
      </c>
      <c r="M273" t="s">
        <v>54</v>
      </c>
      <c r="N273">
        <v>13.513977049999999</v>
      </c>
      <c r="O273">
        <v>289937.46999999997</v>
      </c>
      <c r="P273">
        <v>3111854.64</v>
      </c>
      <c r="Q273">
        <v>1377250.05</v>
      </c>
    </row>
    <row r="274" spans="1:17" x14ac:dyDescent="0.3">
      <c r="A274" t="s">
        <v>26</v>
      </c>
      <c r="B274" t="s">
        <v>73</v>
      </c>
      <c r="C274" t="s">
        <v>20</v>
      </c>
      <c r="D274" t="s">
        <v>61</v>
      </c>
      <c r="E274" s="5">
        <f t="shared" si="4"/>
        <v>43101</v>
      </c>
      <c r="F274">
        <v>2018</v>
      </c>
      <c r="G274">
        <v>70.17</v>
      </c>
      <c r="H274">
        <v>12.8</v>
      </c>
      <c r="I274">
        <v>140.00000059604599</v>
      </c>
      <c r="J274">
        <v>5.8436980199999997</v>
      </c>
      <c r="K274">
        <v>5.2351098060607901</v>
      </c>
      <c r="L274">
        <v>14.0609998703003</v>
      </c>
      <c r="M274" t="s">
        <v>63</v>
      </c>
      <c r="N274">
        <v>32.413148280000001</v>
      </c>
      <c r="O274">
        <v>4266.3599999999997</v>
      </c>
      <c r="P274">
        <v>16675.36</v>
      </c>
      <c r="Q274">
        <v>32774.21</v>
      </c>
    </row>
    <row r="275" spans="1:17" x14ac:dyDescent="0.3">
      <c r="A275" t="s">
        <v>74</v>
      </c>
      <c r="B275" t="s">
        <v>75</v>
      </c>
      <c r="C275" t="s">
        <v>20</v>
      </c>
      <c r="D275" t="s">
        <v>59</v>
      </c>
      <c r="E275" s="5">
        <f t="shared" si="4"/>
        <v>43101</v>
      </c>
      <c r="F275">
        <v>2018</v>
      </c>
      <c r="G275">
        <v>53.976999999999997</v>
      </c>
      <c r="H275">
        <v>30.3</v>
      </c>
      <c r="I275">
        <v>2190.0000572204599</v>
      </c>
      <c r="J275">
        <v>4.1669444999999996</v>
      </c>
      <c r="K275">
        <v>2.2594799995422399</v>
      </c>
      <c r="L275">
        <v>1.12999999523163</v>
      </c>
      <c r="M275" t="s">
        <v>56</v>
      </c>
      <c r="N275">
        <v>9.7811072029999995</v>
      </c>
      <c r="O275">
        <v>614004.43000000005</v>
      </c>
      <c r="P275">
        <v>8464996.5099999998</v>
      </c>
      <c r="Q275">
        <v>2393364.23</v>
      </c>
    </row>
    <row r="276" spans="1:17" x14ac:dyDescent="0.3">
      <c r="A276" t="s">
        <v>30</v>
      </c>
      <c r="B276" t="s">
        <v>77</v>
      </c>
      <c r="C276" t="s">
        <v>20</v>
      </c>
      <c r="D276" t="s">
        <v>59</v>
      </c>
      <c r="E276" s="5">
        <f t="shared" si="4"/>
        <v>43101</v>
      </c>
      <c r="F276">
        <v>2018</v>
      </c>
      <c r="G276">
        <v>60.76</v>
      </c>
      <c r="H276">
        <v>20.7</v>
      </c>
      <c r="I276">
        <v>2309.9999427795401</v>
      </c>
      <c r="J276">
        <v>6.0874776800000001</v>
      </c>
      <c r="K276">
        <v>4.0439400672912598</v>
      </c>
      <c r="L276">
        <v>3.7290000915527299</v>
      </c>
      <c r="M276" t="s">
        <v>54</v>
      </c>
      <c r="N276">
        <v>8.9077059849999998</v>
      </c>
      <c r="O276">
        <v>245884.96</v>
      </c>
      <c r="P276">
        <v>2072528.42</v>
      </c>
      <c r="Q276">
        <v>1165497.78</v>
      </c>
    </row>
    <row r="277" spans="1:17" x14ac:dyDescent="0.3">
      <c r="A277" t="s">
        <v>29</v>
      </c>
      <c r="B277" t="s">
        <v>78</v>
      </c>
      <c r="C277" t="s">
        <v>20</v>
      </c>
      <c r="D277" t="s">
        <v>61</v>
      </c>
      <c r="E277" s="5">
        <f t="shared" si="4"/>
        <v>43101</v>
      </c>
      <c r="F277">
        <v>2018</v>
      </c>
      <c r="G277">
        <v>65.015000000000001</v>
      </c>
      <c r="H277">
        <v>23.3</v>
      </c>
      <c r="I277">
        <v>12000</v>
      </c>
      <c r="J277">
        <v>4.1536302599999999</v>
      </c>
      <c r="K277">
        <v>3.69643998146057</v>
      </c>
      <c r="L277">
        <v>2.2060000896453902</v>
      </c>
      <c r="M277" t="s">
        <v>56</v>
      </c>
      <c r="N277">
        <v>25.189090889999999</v>
      </c>
      <c r="O277">
        <v>1489983.48</v>
      </c>
      <c r="P277">
        <v>13717505.82</v>
      </c>
      <c r="Q277">
        <v>8338480.2300000004</v>
      </c>
    </row>
    <row r="278" spans="1:17" x14ac:dyDescent="0.3">
      <c r="A278" t="s">
        <v>13</v>
      </c>
      <c r="B278" t="s">
        <v>83</v>
      </c>
      <c r="C278" t="s">
        <v>15</v>
      </c>
      <c r="D278" t="s">
        <v>61</v>
      </c>
      <c r="E278" s="5">
        <f t="shared" si="4"/>
        <v>43101</v>
      </c>
      <c r="F278">
        <v>2018</v>
      </c>
      <c r="G278">
        <v>73.186999999999998</v>
      </c>
      <c r="H278">
        <v>4.5</v>
      </c>
      <c r="I278">
        <v>289.99999165535002</v>
      </c>
      <c r="J278">
        <v>5.4719109499999998</v>
      </c>
      <c r="K278">
        <v>4.5321497917175302</v>
      </c>
      <c r="L278">
        <v>8.6859998703002894</v>
      </c>
      <c r="M278" t="s">
        <v>81</v>
      </c>
      <c r="N278">
        <v>47.6734285</v>
      </c>
      <c r="O278">
        <v>6710.32</v>
      </c>
      <c r="P278">
        <v>8783.2099999999991</v>
      </c>
      <c r="Q278">
        <v>43300.480000000003</v>
      </c>
    </row>
    <row r="279" spans="1:17" x14ac:dyDescent="0.3">
      <c r="A279" t="s">
        <v>7</v>
      </c>
      <c r="B279" t="s">
        <v>79</v>
      </c>
      <c r="C279" t="s">
        <v>19</v>
      </c>
      <c r="D279" t="s">
        <v>61</v>
      </c>
      <c r="E279" s="5">
        <f t="shared" si="4"/>
        <v>43466</v>
      </c>
      <c r="F279">
        <v>2019</v>
      </c>
      <c r="G279">
        <v>72.590999999999994</v>
      </c>
      <c r="H279">
        <v>11</v>
      </c>
      <c r="I279">
        <v>90739.997863769502</v>
      </c>
      <c r="J279">
        <v>2.4835760599999999</v>
      </c>
      <c r="K279">
        <v>1.3263200521469101</v>
      </c>
      <c r="L279">
        <v>4.4380002021789604</v>
      </c>
      <c r="M279" t="s">
        <v>56</v>
      </c>
      <c r="N279">
        <v>37.684883579999997</v>
      </c>
      <c r="O279">
        <v>3193719.6</v>
      </c>
      <c r="P279">
        <v>11672523.039999999</v>
      </c>
      <c r="Q279">
        <v>28256673.899999999</v>
      </c>
    </row>
    <row r="280" spans="1:17" x14ac:dyDescent="0.3">
      <c r="A280" t="s">
        <v>21</v>
      </c>
      <c r="B280" t="s">
        <v>58</v>
      </c>
      <c r="C280" t="s">
        <v>20</v>
      </c>
      <c r="D280" t="s">
        <v>59</v>
      </c>
      <c r="E280" s="5">
        <f t="shared" si="4"/>
        <v>43466</v>
      </c>
      <c r="F280">
        <v>2019</v>
      </c>
      <c r="G280">
        <v>53.283000000000001</v>
      </c>
      <c r="H280">
        <v>49.2</v>
      </c>
      <c r="I280">
        <v>239.999994635582</v>
      </c>
      <c r="J280">
        <v>7.7530088399999997</v>
      </c>
      <c r="K280">
        <v>1.7687122821807899</v>
      </c>
      <c r="L280">
        <v>5.6230001449584996</v>
      </c>
      <c r="M280" t="s">
        <v>56</v>
      </c>
      <c r="N280">
        <v>13.946192330000001</v>
      </c>
      <c r="O280">
        <v>388818.06</v>
      </c>
      <c r="P280">
        <v>3014630.66</v>
      </c>
      <c r="Q280">
        <v>1000223.98</v>
      </c>
    </row>
    <row r="281" spans="1:17" x14ac:dyDescent="0.3">
      <c r="A281" t="s">
        <v>10</v>
      </c>
      <c r="B281" t="s">
        <v>85</v>
      </c>
      <c r="C281" t="s">
        <v>17</v>
      </c>
      <c r="D281" t="s">
        <v>61</v>
      </c>
      <c r="E281" s="5">
        <f t="shared" si="4"/>
        <v>43466</v>
      </c>
      <c r="F281">
        <v>2019</v>
      </c>
      <c r="G281">
        <v>75.27</v>
      </c>
      <c r="H281">
        <v>13.3</v>
      </c>
      <c r="I281">
        <v>10220.000267028799</v>
      </c>
      <c r="J281">
        <v>7.2839178999999996</v>
      </c>
      <c r="K281">
        <v>4.9128499031066903</v>
      </c>
      <c r="L281">
        <v>5.6999998092651403</v>
      </c>
      <c r="M281" t="s">
        <v>56</v>
      </c>
      <c r="N281">
        <v>49.317481030000003</v>
      </c>
      <c r="O281">
        <v>392599.94</v>
      </c>
      <c r="P281">
        <v>437975.24</v>
      </c>
      <c r="Q281">
        <v>1726716.98</v>
      </c>
    </row>
    <row r="282" spans="1:17" x14ac:dyDescent="0.3">
      <c r="A282" t="s">
        <v>33</v>
      </c>
      <c r="B282" t="s">
        <v>87</v>
      </c>
      <c r="C282" t="s">
        <v>15</v>
      </c>
      <c r="D282" t="s">
        <v>61</v>
      </c>
      <c r="E282" s="5">
        <f t="shared" si="4"/>
        <v>43466</v>
      </c>
      <c r="F282">
        <v>2019</v>
      </c>
      <c r="G282">
        <v>68.369</v>
      </c>
      <c r="H282">
        <v>4</v>
      </c>
      <c r="I282">
        <v>90.000003576278701</v>
      </c>
      <c r="J282">
        <v>10.26414394</v>
      </c>
      <c r="K282">
        <v>12.394659996032701</v>
      </c>
      <c r="M282" t="s">
        <v>63</v>
      </c>
      <c r="N282">
        <v>26.355274080000001</v>
      </c>
      <c r="O282">
        <v>4687.1099999999997</v>
      </c>
      <c r="P282">
        <v>15933.83</v>
      </c>
      <c r="Q282">
        <v>36285.96</v>
      </c>
    </row>
    <row r="283" spans="1:17" x14ac:dyDescent="0.3">
      <c r="A283" t="s">
        <v>66</v>
      </c>
      <c r="B283" t="s">
        <v>67</v>
      </c>
      <c r="C283" t="s">
        <v>20</v>
      </c>
      <c r="D283" t="s">
        <v>61</v>
      </c>
      <c r="E283" s="5">
        <f t="shared" si="4"/>
        <v>43466</v>
      </c>
      <c r="F283">
        <v>2019</v>
      </c>
      <c r="G283">
        <v>54.331000000000003</v>
      </c>
      <c r="H283">
        <v>31.2</v>
      </c>
      <c r="I283">
        <v>769.99998092651401</v>
      </c>
      <c r="J283">
        <v>11.26946354</v>
      </c>
      <c r="K283">
        <v>7.9917120933532697</v>
      </c>
      <c r="L283">
        <v>22.440000534057599</v>
      </c>
      <c r="M283" t="s">
        <v>54</v>
      </c>
      <c r="N283">
        <v>45.820400470000003</v>
      </c>
      <c r="O283">
        <v>170550.1</v>
      </c>
      <c r="P283">
        <v>1023104.35</v>
      </c>
      <c r="Q283">
        <v>454034.4</v>
      </c>
    </row>
    <row r="284" spans="1:17" x14ac:dyDescent="0.3">
      <c r="A284" t="s">
        <v>24</v>
      </c>
      <c r="B284" t="s">
        <v>68</v>
      </c>
      <c r="C284" t="s">
        <v>20</v>
      </c>
      <c r="D284" t="s">
        <v>59</v>
      </c>
      <c r="E284" s="5">
        <f t="shared" si="4"/>
        <v>43466</v>
      </c>
      <c r="F284">
        <v>2019</v>
      </c>
      <c r="G284">
        <v>67.040999999999997</v>
      </c>
      <c r="H284">
        <v>47.4</v>
      </c>
      <c r="I284">
        <v>4119.9998855590802</v>
      </c>
      <c r="J284">
        <v>3.6872837500000002</v>
      </c>
      <c r="K284">
        <v>2.9948587417602499</v>
      </c>
      <c r="L284">
        <v>1.85699999332428</v>
      </c>
      <c r="M284" t="s">
        <v>56</v>
      </c>
      <c r="N284">
        <v>10.057916730000001</v>
      </c>
      <c r="O284">
        <v>596008.21</v>
      </c>
      <c r="P284">
        <v>6084479.0700000003</v>
      </c>
      <c r="Q284">
        <v>4045294.79</v>
      </c>
    </row>
    <row r="285" spans="1:17" x14ac:dyDescent="0.3">
      <c r="A285" t="s">
        <v>25</v>
      </c>
      <c r="B285" t="s">
        <v>69</v>
      </c>
      <c r="C285" t="s">
        <v>20</v>
      </c>
      <c r="D285" t="s">
        <v>59</v>
      </c>
      <c r="E285" s="5">
        <f t="shared" si="4"/>
        <v>43466</v>
      </c>
      <c r="F285">
        <v>2019</v>
      </c>
      <c r="G285">
        <v>59.305999999999997</v>
      </c>
      <c r="H285">
        <v>5.6</v>
      </c>
      <c r="I285">
        <v>5829.9999237060501</v>
      </c>
      <c r="J285">
        <v>3.8938984900000002</v>
      </c>
      <c r="K285">
        <v>3.48410224914551</v>
      </c>
      <c r="L285">
        <v>7.4419999122619602</v>
      </c>
      <c r="M285" t="s">
        <v>54</v>
      </c>
      <c r="N285">
        <v>19.229037689999998</v>
      </c>
      <c r="O285">
        <v>917064.7</v>
      </c>
      <c r="P285">
        <v>10446688.279999999</v>
      </c>
      <c r="Q285">
        <v>3483913.85</v>
      </c>
    </row>
    <row r="286" spans="1:17" x14ac:dyDescent="0.3">
      <c r="A286" t="s">
        <v>35</v>
      </c>
      <c r="B286" t="s">
        <v>88</v>
      </c>
      <c r="C286" t="s">
        <v>15</v>
      </c>
      <c r="D286" t="s">
        <v>61</v>
      </c>
      <c r="E286" s="5">
        <f t="shared" si="4"/>
        <v>43466</v>
      </c>
      <c r="F286">
        <v>2019</v>
      </c>
      <c r="G286">
        <v>67.134</v>
      </c>
      <c r="H286">
        <v>2.5</v>
      </c>
      <c r="I286">
        <v>36720.001220703103</v>
      </c>
      <c r="J286">
        <v>4.6785640700000002</v>
      </c>
      <c r="K286">
        <v>2.1398699283599898</v>
      </c>
      <c r="L286">
        <v>0.5</v>
      </c>
      <c r="M286" t="s">
        <v>56</v>
      </c>
      <c r="N286">
        <v>60.767666339999998</v>
      </c>
      <c r="O286">
        <v>1730115.29</v>
      </c>
      <c r="P286">
        <v>4993210.91</v>
      </c>
      <c r="Q286">
        <v>12699265.84</v>
      </c>
    </row>
    <row r="287" spans="1:17" x14ac:dyDescent="0.3">
      <c r="A287" t="s">
        <v>11</v>
      </c>
      <c r="B287" t="s">
        <v>82</v>
      </c>
      <c r="C287" t="s">
        <v>15</v>
      </c>
      <c r="D287" t="s">
        <v>61</v>
      </c>
      <c r="E287" s="5">
        <f t="shared" si="4"/>
        <v>43466</v>
      </c>
      <c r="F287">
        <v>2019</v>
      </c>
      <c r="G287">
        <v>69.87</v>
      </c>
      <c r="H287">
        <v>4</v>
      </c>
      <c r="I287">
        <v>23069.999694824201</v>
      </c>
      <c r="J287">
        <v>3.7660782300000002</v>
      </c>
      <c r="K287">
        <v>4.9408898353576696</v>
      </c>
      <c r="L287">
        <v>5.4390001296997097</v>
      </c>
      <c r="M287" t="s">
        <v>54</v>
      </c>
      <c r="N287">
        <v>54.529523470000001</v>
      </c>
      <c r="O287">
        <v>174613.69</v>
      </c>
      <c r="P287">
        <v>161261.57</v>
      </c>
      <c r="Q287">
        <v>835408.23</v>
      </c>
    </row>
    <row r="288" spans="1:17" x14ac:dyDescent="0.3">
      <c r="A288" t="s">
        <v>34</v>
      </c>
      <c r="B288" t="s">
        <v>86</v>
      </c>
      <c r="C288" t="s">
        <v>20</v>
      </c>
      <c r="D288" t="s">
        <v>59</v>
      </c>
      <c r="E288" s="5">
        <f t="shared" si="4"/>
        <v>43466</v>
      </c>
      <c r="F288">
        <v>2019</v>
      </c>
      <c r="G288">
        <v>64.263000000000005</v>
      </c>
      <c r="H288">
        <v>17.600000000000001</v>
      </c>
      <c r="I288">
        <v>1450.0000476837199</v>
      </c>
      <c r="J288">
        <v>7.3934116400000001</v>
      </c>
      <c r="K288">
        <v>3.7113199234008798</v>
      </c>
      <c r="L288">
        <v>5.7519998550415004</v>
      </c>
      <c r="M288" t="s">
        <v>56</v>
      </c>
      <c r="N288">
        <v>23.958932140000002</v>
      </c>
      <c r="O288">
        <v>421938.54</v>
      </c>
      <c r="P288">
        <v>4566247.6900000004</v>
      </c>
      <c r="Q288">
        <v>2516337.9900000002</v>
      </c>
    </row>
    <row r="289" spans="1:17" x14ac:dyDescent="0.3">
      <c r="A289" t="s">
        <v>12</v>
      </c>
      <c r="B289" t="s">
        <v>70</v>
      </c>
      <c r="C289" t="s">
        <v>19</v>
      </c>
      <c r="D289" t="s">
        <v>61</v>
      </c>
      <c r="E289" s="5">
        <f t="shared" si="4"/>
        <v>43466</v>
      </c>
      <c r="F289">
        <v>2019</v>
      </c>
      <c r="G289">
        <v>70.778000000000006</v>
      </c>
      <c r="H289">
        <v>4.8</v>
      </c>
      <c r="I289">
        <v>13449.9998092651</v>
      </c>
      <c r="J289">
        <v>4.4451508500000001</v>
      </c>
      <c r="K289">
        <v>4.2399997711181596</v>
      </c>
      <c r="L289">
        <v>3.0969998836517298</v>
      </c>
      <c r="M289" t="s">
        <v>54</v>
      </c>
      <c r="N289">
        <v>45.516779120000002</v>
      </c>
      <c r="O289">
        <v>888008.1</v>
      </c>
      <c r="P289">
        <v>2714999.74</v>
      </c>
      <c r="Q289">
        <v>5685683.2300000004</v>
      </c>
    </row>
    <row r="290" spans="1:17" x14ac:dyDescent="0.3">
      <c r="A290" t="s">
        <v>27</v>
      </c>
      <c r="B290" t="s">
        <v>71</v>
      </c>
      <c r="C290" t="s">
        <v>20</v>
      </c>
      <c r="D290" t="s">
        <v>61</v>
      </c>
      <c r="E290" s="5">
        <f t="shared" si="4"/>
        <v>43466</v>
      </c>
      <c r="F290">
        <v>2019</v>
      </c>
      <c r="G290">
        <v>67.941000000000003</v>
      </c>
      <c r="H290">
        <v>7.4</v>
      </c>
      <c r="I290">
        <v>10619.9998855591</v>
      </c>
      <c r="J290">
        <v>4.1322693800000003</v>
      </c>
      <c r="K290">
        <v>5.3488750457763699</v>
      </c>
      <c r="L290">
        <v>2.8599998950958301</v>
      </c>
      <c r="M290" t="s">
        <v>63</v>
      </c>
      <c r="N290">
        <v>23.764269349999999</v>
      </c>
      <c r="O290">
        <v>334986.7</v>
      </c>
      <c r="P290">
        <v>2919710.61</v>
      </c>
      <c r="Q290">
        <v>2219121.17</v>
      </c>
    </row>
    <row r="291" spans="1:17" x14ac:dyDescent="0.3">
      <c r="A291" t="s">
        <v>28</v>
      </c>
      <c r="B291" t="s">
        <v>72</v>
      </c>
      <c r="C291" t="s">
        <v>20</v>
      </c>
      <c r="D291" t="s">
        <v>59</v>
      </c>
      <c r="E291" s="5">
        <f t="shared" si="4"/>
        <v>43466</v>
      </c>
      <c r="F291">
        <v>2019</v>
      </c>
      <c r="G291">
        <v>54.695999999999998</v>
      </c>
      <c r="H291">
        <v>27.9</v>
      </c>
      <c r="I291">
        <v>899.99997615814198</v>
      </c>
      <c r="J291">
        <v>8.7497663499999998</v>
      </c>
      <c r="K291">
        <v>7.4470100402831996</v>
      </c>
      <c r="L291">
        <v>4.6490001678466797</v>
      </c>
      <c r="M291" t="s">
        <v>54</v>
      </c>
      <c r="N291">
        <v>13.78175184</v>
      </c>
      <c r="O291">
        <v>290513.5</v>
      </c>
      <c r="P291">
        <v>3050253.71</v>
      </c>
      <c r="Q291">
        <v>1399862.43</v>
      </c>
    </row>
    <row r="292" spans="1:17" x14ac:dyDescent="0.3">
      <c r="A292" t="s">
        <v>26</v>
      </c>
      <c r="B292" t="s">
        <v>73</v>
      </c>
      <c r="C292" t="s">
        <v>20</v>
      </c>
      <c r="D292" t="s">
        <v>61</v>
      </c>
      <c r="E292" s="5">
        <f t="shared" si="4"/>
        <v>43466</v>
      </c>
      <c r="F292">
        <v>2019</v>
      </c>
      <c r="G292">
        <v>70.385000000000005</v>
      </c>
      <c r="H292">
        <v>13</v>
      </c>
      <c r="I292">
        <v>150.00000596046399</v>
      </c>
      <c r="J292">
        <v>5.52976227</v>
      </c>
      <c r="K292">
        <v>5.9215497970581099</v>
      </c>
      <c r="L292">
        <v>14.144000053405801</v>
      </c>
      <c r="M292" t="s">
        <v>63</v>
      </c>
      <c r="N292">
        <v>33.535911179999999</v>
      </c>
      <c r="O292">
        <v>4293.1000000000004</v>
      </c>
      <c r="P292">
        <v>16170.29</v>
      </c>
      <c r="Q292">
        <v>33337.54</v>
      </c>
    </row>
    <row r="293" spans="1:17" x14ac:dyDescent="0.3">
      <c r="A293" t="s">
        <v>74</v>
      </c>
      <c r="B293" t="s">
        <v>75</v>
      </c>
      <c r="C293" t="s">
        <v>20</v>
      </c>
      <c r="D293" t="s">
        <v>59</v>
      </c>
      <c r="E293" s="5">
        <f t="shared" si="4"/>
        <v>43466</v>
      </c>
      <c r="F293">
        <v>2019</v>
      </c>
      <c r="G293">
        <v>54.238999999999997</v>
      </c>
      <c r="H293">
        <v>31.7</v>
      </c>
      <c r="I293">
        <v>2250</v>
      </c>
      <c r="J293">
        <v>4.3536314999999997</v>
      </c>
      <c r="K293">
        <v>2.3724598884582502</v>
      </c>
      <c r="L293">
        <v>1.1230000257492101</v>
      </c>
      <c r="M293" t="s">
        <v>56</v>
      </c>
      <c r="N293">
        <v>9.9511358340000005</v>
      </c>
      <c r="O293">
        <v>626720.09</v>
      </c>
      <c r="P293">
        <v>8496915.8300000001</v>
      </c>
      <c r="Q293">
        <v>2459705.38</v>
      </c>
    </row>
    <row r="294" spans="1:17" x14ac:dyDescent="0.3">
      <c r="A294" t="s">
        <v>30</v>
      </c>
      <c r="B294" t="s">
        <v>77</v>
      </c>
      <c r="C294" t="s">
        <v>20</v>
      </c>
      <c r="D294" t="s">
        <v>59</v>
      </c>
      <c r="E294" s="5">
        <f t="shared" si="4"/>
        <v>43466</v>
      </c>
      <c r="F294">
        <v>2019</v>
      </c>
      <c r="G294">
        <v>61.042000000000002</v>
      </c>
      <c r="H294">
        <v>20.100000000000001</v>
      </c>
      <c r="I294">
        <v>2369.9998855590802</v>
      </c>
      <c r="J294">
        <v>5.72606897</v>
      </c>
      <c r="K294">
        <v>4.0691432952880904</v>
      </c>
      <c r="L294">
        <v>3.7190001010894802</v>
      </c>
      <c r="M294" t="s">
        <v>54</v>
      </c>
      <c r="N294">
        <v>9.1038341729999992</v>
      </c>
      <c r="O294">
        <v>246081.26</v>
      </c>
      <c r="P294">
        <v>1992666.23</v>
      </c>
      <c r="Q294">
        <v>1190315.76</v>
      </c>
    </row>
    <row r="295" spans="1:17" x14ac:dyDescent="0.3">
      <c r="A295" t="s">
        <v>29</v>
      </c>
      <c r="B295" t="s">
        <v>78</v>
      </c>
      <c r="C295" t="s">
        <v>20</v>
      </c>
      <c r="D295" t="s">
        <v>61</v>
      </c>
      <c r="E295" s="5">
        <f t="shared" si="4"/>
        <v>43466</v>
      </c>
      <c r="F295">
        <v>2019</v>
      </c>
      <c r="G295">
        <v>65.456000000000003</v>
      </c>
      <c r="H295">
        <v>23.4</v>
      </c>
      <c r="I295">
        <v>12449.9998092651</v>
      </c>
      <c r="J295">
        <v>3.82769322</v>
      </c>
      <c r="K295">
        <v>3.5968363285064702</v>
      </c>
      <c r="L295">
        <v>2.2219998836517298</v>
      </c>
      <c r="M295" t="s">
        <v>54</v>
      </c>
      <c r="N295">
        <v>26.238277579999998</v>
      </c>
      <c r="O295">
        <v>1478236.12</v>
      </c>
      <c r="P295">
        <v>13341065.720000001</v>
      </c>
      <c r="Q295">
        <v>8469064.3699999992</v>
      </c>
    </row>
    <row r="296" spans="1:17" x14ac:dyDescent="0.3">
      <c r="A296" t="s">
        <v>13</v>
      </c>
      <c r="B296" t="s">
        <v>83</v>
      </c>
      <c r="C296" t="s">
        <v>15</v>
      </c>
      <c r="D296" t="s">
        <v>61</v>
      </c>
      <c r="E296" s="5">
        <f t="shared" si="4"/>
        <v>43466</v>
      </c>
      <c r="F296">
        <v>2019</v>
      </c>
      <c r="G296">
        <v>73.320999999999998</v>
      </c>
      <c r="H296">
        <v>4.4000000000000004</v>
      </c>
      <c r="I296">
        <v>300.00001192092901</v>
      </c>
      <c r="J296">
        <v>6.3630938500000003</v>
      </c>
      <c r="K296">
        <v>4.7062501907348597</v>
      </c>
      <c r="L296">
        <v>8.4060001373290998</v>
      </c>
      <c r="M296" t="s">
        <v>81</v>
      </c>
      <c r="N296">
        <v>47.698788329999999</v>
      </c>
      <c r="O296">
        <v>6652.84</v>
      </c>
      <c r="P296">
        <v>9095.19</v>
      </c>
      <c r="Q296">
        <v>43798.62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9F623-754F-4DCC-93FB-7D6893C544A6}">
  <dimension ref="A1:O79"/>
  <sheetViews>
    <sheetView topLeftCell="I33" zoomScale="79" zoomScaleNormal="79" workbookViewId="0">
      <selection activeCell="K45" sqref="K45"/>
    </sheetView>
  </sheetViews>
  <sheetFormatPr defaultRowHeight="14.4" x14ac:dyDescent="0.3"/>
  <cols>
    <col min="1" max="1" width="21.21875" bestFit="1" customWidth="1"/>
    <col min="2" max="2" width="30.44140625" bestFit="1" customWidth="1"/>
    <col min="3" max="3" width="33.5546875" bestFit="1" customWidth="1"/>
    <col min="4" max="4" width="30.44140625" bestFit="1" customWidth="1"/>
    <col min="8" max="8" width="22.21875" bestFit="1" customWidth="1"/>
    <col min="9" max="9" width="40.88671875" bestFit="1" customWidth="1"/>
    <col min="10" max="10" width="33.21875" bestFit="1" customWidth="1"/>
    <col min="11" max="11" width="22.21875" bestFit="1" customWidth="1"/>
    <col min="12" max="12" width="19.109375" bestFit="1" customWidth="1"/>
    <col min="13" max="13" width="40.88671875" bestFit="1" customWidth="1"/>
    <col min="14" max="14" width="30.44140625" bestFit="1" customWidth="1"/>
    <col min="15" max="15" width="21.88671875" bestFit="1" customWidth="1"/>
  </cols>
  <sheetData>
    <row r="1" spans="1:9" x14ac:dyDescent="0.3">
      <c r="A1" s="1" t="s">
        <v>0</v>
      </c>
      <c r="B1" t="s">
        <v>1</v>
      </c>
    </row>
    <row r="2" spans="1:9" x14ac:dyDescent="0.3">
      <c r="A2" s="2" t="s">
        <v>4</v>
      </c>
      <c r="B2">
        <v>75.227999999999994</v>
      </c>
      <c r="H2" s="3" t="s">
        <v>0</v>
      </c>
      <c r="I2" s="3" t="s">
        <v>90</v>
      </c>
    </row>
    <row r="3" spans="1:9" x14ac:dyDescent="0.3">
      <c r="A3" s="2" t="s">
        <v>5</v>
      </c>
      <c r="B3">
        <v>72.626000000000005</v>
      </c>
      <c r="H3" s="4" t="s">
        <v>4</v>
      </c>
      <c r="I3" s="3">
        <v>15.9700002670288</v>
      </c>
    </row>
    <row r="4" spans="1:9" x14ac:dyDescent="0.3">
      <c r="A4" s="2" t="s">
        <v>6</v>
      </c>
      <c r="B4">
        <v>68.747</v>
      </c>
      <c r="H4" s="2" t="s">
        <v>31</v>
      </c>
      <c r="I4">
        <v>27.719999313354499</v>
      </c>
    </row>
    <row r="5" spans="1:9" x14ac:dyDescent="0.3">
      <c r="A5" s="2" t="s">
        <v>9</v>
      </c>
      <c r="B5">
        <v>70.537999999999997</v>
      </c>
      <c r="H5" s="2" t="s">
        <v>9</v>
      </c>
      <c r="I5">
        <v>13.810000419616699</v>
      </c>
    </row>
    <row r="6" spans="1:9" x14ac:dyDescent="0.3">
      <c r="A6" s="2" t="s">
        <v>23</v>
      </c>
      <c r="B6">
        <v>58.719000000000001</v>
      </c>
      <c r="H6" s="2" t="s">
        <v>66</v>
      </c>
      <c r="I6">
        <v>31.309999465942401</v>
      </c>
    </row>
    <row r="7" spans="1:9" x14ac:dyDescent="0.3">
      <c r="A7" s="2" t="s">
        <v>32</v>
      </c>
      <c r="B7">
        <v>64.5</v>
      </c>
      <c r="H7" s="2" t="s">
        <v>26</v>
      </c>
      <c r="I7">
        <v>16.469999313354499</v>
      </c>
    </row>
    <row r="8" spans="1:9" x14ac:dyDescent="0.3">
      <c r="A8" s="2" t="s">
        <v>24</v>
      </c>
      <c r="B8">
        <v>61.212000000000003</v>
      </c>
      <c r="H8" s="2" t="s">
        <v>14</v>
      </c>
      <c r="I8">
        <v>21.055999755859382</v>
      </c>
    </row>
    <row r="9" spans="1:9" x14ac:dyDescent="0.3">
      <c r="A9" s="2" t="s">
        <v>12</v>
      </c>
      <c r="B9">
        <v>65.263999999999996</v>
      </c>
    </row>
    <row r="10" spans="1:9" x14ac:dyDescent="0.3">
      <c r="A10" s="2" t="s">
        <v>26</v>
      </c>
      <c r="B10">
        <v>64.659000000000006</v>
      </c>
    </row>
    <row r="11" spans="1:9" x14ac:dyDescent="0.3">
      <c r="A11" s="2" t="s">
        <v>27</v>
      </c>
      <c r="B11">
        <v>60.62</v>
      </c>
    </row>
    <row r="12" spans="1:9" x14ac:dyDescent="0.3">
      <c r="A12" s="2" t="s">
        <v>14</v>
      </c>
      <c r="B12">
        <v>66.211299999999994</v>
      </c>
    </row>
    <row r="13" spans="1:9" x14ac:dyDescent="0.3">
      <c r="H13" s="3" t="s">
        <v>0</v>
      </c>
      <c r="I13" s="3" t="s">
        <v>91</v>
      </c>
    </row>
    <row r="14" spans="1:9" x14ac:dyDescent="0.3">
      <c r="A14" s="1" t="s">
        <v>0</v>
      </c>
      <c r="B14" t="s">
        <v>1</v>
      </c>
      <c r="H14" s="2" t="s">
        <v>21</v>
      </c>
      <c r="I14">
        <v>39.6</v>
      </c>
    </row>
    <row r="15" spans="1:9" x14ac:dyDescent="0.3">
      <c r="A15" s="2" t="s">
        <v>21</v>
      </c>
      <c r="B15">
        <v>44.744</v>
      </c>
      <c r="H15" s="2" t="s">
        <v>74</v>
      </c>
      <c r="I15">
        <v>37.799999999999997</v>
      </c>
    </row>
    <row r="16" spans="1:9" x14ac:dyDescent="0.3">
      <c r="A16" s="2" t="s">
        <v>74</v>
      </c>
      <c r="B16">
        <v>48.548999999999999</v>
      </c>
      <c r="H16" s="2" t="s">
        <v>31</v>
      </c>
      <c r="I16">
        <v>31.3</v>
      </c>
    </row>
    <row r="17" spans="1:9" x14ac:dyDescent="0.3">
      <c r="A17" s="2" t="s">
        <v>31</v>
      </c>
      <c r="B17">
        <v>57.991</v>
      </c>
      <c r="H17" s="2" t="s">
        <v>24</v>
      </c>
      <c r="I17">
        <v>33.4</v>
      </c>
    </row>
    <row r="18" spans="1:9" x14ac:dyDescent="0.3">
      <c r="A18" s="2" t="s">
        <v>23</v>
      </c>
      <c r="B18">
        <v>58.719000000000001</v>
      </c>
      <c r="H18" s="2" t="s">
        <v>28</v>
      </c>
      <c r="I18">
        <v>46.7</v>
      </c>
    </row>
    <row r="19" spans="1:9" x14ac:dyDescent="0.3">
      <c r="A19" s="2" t="s">
        <v>66</v>
      </c>
      <c r="B19">
        <v>42.658000000000001</v>
      </c>
      <c r="H19" s="2" t="s">
        <v>14</v>
      </c>
      <c r="I19">
        <v>37.760000000000005</v>
      </c>
    </row>
    <row r="20" spans="1:9" x14ac:dyDescent="0.3">
      <c r="A20" s="2" t="s">
        <v>25</v>
      </c>
      <c r="B20">
        <v>52.057000000000002</v>
      </c>
    </row>
    <row r="21" spans="1:9" x14ac:dyDescent="0.3">
      <c r="A21" s="2" t="s">
        <v>27</v>
      </c>
      <c r="B21">
        <v>60.62</v>
      </c>
    </row>
    <row r="22" spans="1:9" x14ac:dyDescent="0.3">
      <c r="A22" s="2" t="s">
        <v>28</v>
      </c>
      <c r="B22">
        <v>44.502000000000002</v>
      </c>
    </row>
    <row r="23" spans="1:9" x14ac:dyDescent="0.3">
      <c r="A23" s="2" t="s">
        <v>29</v>
      </c>
      <c r="B23">
        <v>54.348999999999997</v>
      </c>
    </row>
    <row r="24" spans="1:9" x14ac:dyDescent="0.3">
      <c r="A24" s="2" t="s">
        <v>30</v>
      </c>
      <c r="B24">
        <v>54.601999999999997</v>
      </c>
    </row>
    <row r="25" spans="1:9" x14ac:dyDescent="0.3">
      <c r="A25" s="2" t="s">
        <v>14</v>
      </c>
      <c r="B25">
        <v>51.879100000000008</v>
      </c>
    </row>
    <row r="28" spans="1:9" x14ac:dyDescent="0.3">
      <c r="A28" s="1" t="s">
        <v>0</v>
      </c>
      <c r="B28" t="s">
        <v>2</v>
      </c>
      <c r="C28" t="s">
        <v>89</v>
      </c>
    </row>
    <row r="29" spans="1:9" x14ac:dyDescent="0.3">
      <c r="A29" s="2" t="s">
        <v>4</v>
      </c>
      <c r="B29">
        <v>6.3355417300000001</v>
      </c>
      <c r="C29">
        <v>3.2815499305725102</v>
      </c>
    </row>
    <row r="30" spans="1:9" x14ac:dyDescent="0.3">
      <c r="A30" s="2" t="s">
        <v>5</v>
      </c>
      <c r="B30">
        <v>5.8618826899999998</v>
      </c>
      <c r="C30">
        <v>2.7120299339294398</v>
      </c>
    </row>
    <row r="31" spans="1:9" x14ac:dyDescent="0.3">
      <c r="A31" s="2" t="s">
        <v>74</v>
      </c>
      <c r="B31">
        <v>4.8411140399999999</v>
      </c>
      <c r="C31">
        <v>1.69476997852325</v>
      </c>
    </row>
    <row r="32" spans="1:9" x14ac:dyDescent="0.3">
      <c r="A32" s="2" t="s">
        <v>9</v>
      </c>
      <c r="B32">
        <v>8.0773410800000001</v>
      </c>
      <c r="C32">
        <v>2.4843199253082302</v>
      </c>
    </row>
    <row r="33" spans="1:15" x14ac:dyDescent="0.3">
      <c r="A33" s="2" t="s">
        <v>66</v>
      </c>
      <c r="B33">
        <v>5.4492669100000004</v>
      </c>
      <c r="C33">
        <v>12.0796604156494</v>
      </c>
    </row>
    <row r="34" spans="1:15" x14ac:dyDescent="0.3">
      <c r="A34" s="2" t="s">
        <v>24</v>
      </c>
      <c r="B34">
        <v>5.2026195499999996</v>
      </c>
      <c r="C34">
        <v>3.3096399307250999</v>
      </c>
    </row>
    <row r="35" spans="1:15" x14ac:dyDescent="0.3">
      <c r="A35" s="2" t="s">
        <v>25</v>
      </c>
      <c r="B35">
        <v>5.1951570499999997</v>
      </c>
      <c r="C35">
        <v>3.5221800804138201</v>
      </c>
    </row>
    <row r="36" spans="1:15" x14ac:dyDescent="0.3">
      <c r="A36" s="2" t="s">
        <v>26</v>
      </c>
      <c r="B36">
        <v>11.51630402</v>
      </c>
      <c r="C36">
        <v>4.8564500808715803</v>
      </c>
    </row>
    <row r="37" spans="1:15" x14ac:dyDescent="0.3">
      <c r="A37" s="2" t="s">
        <v>28</v>
      </c>
      <c r="B37">
        <v>11.037729260000001</v>
      </c>
      <c r="C37">
        <v>2.7969799041747998</v>
      </c>
    </row>
    <row r="38" spans="1:15" x14ac:dyDescent="0.3">
      <c r="A38" s="2" t="s">
        <v>29</v>
      </c>
      <c r="B38">
        <v>6.3228259099999997</v>
      </c>
      <c r="C38">
        <v>3.5462501049041699</v>
      </c>
    </row>
    <row r="39" spans="1:15" x14ac:dyDescent="0.3">
      <c r="A39" s="2" t="s">
        <v>14</v>
      </c>
      <c r="B39">
        <v>6.9839782240000003</v>
      </c>
      <c r="C39">
        <v>4.0283830285072302</v>
      </c>
      <c r="K39" t="s">
        <v>1</v>
      </c>
      <c r="L39" t="s">
        <v>89</v>
      </c>
      <c r="M39" t="s">
        <v>90</v>
      </c>
      <c r="N39" s="9" t="s">
        <v>2</v>
      </c>
      <c r="O39" t="s">
        <v>94</v>
      </c>
    </row>
    <row r="40" spans="1:15" ht="33.6" x14ac:dyDescent="0.65">
      <c r="K40" s="7">
        <v>58.975833333333334</v>
      </c>
      <c r="L40" s="10">
        <v>4.1375689042939072</v>
      </c>
      <c r="M40" s="7">
        <v>9.6775554948382947</v>
      </c>
      <c r="N40" s="6">
        <v>5.4469987950000007</v>
      </c>
      <c r="O40" s="8">
        <v>18</v>
      </c>
    </row>
    <row r="41" spans="1:15" ht="33.6" x14ac:dyDescent="0.65"/>
    <row r="42" spans="1:15" ht="33.6" x14ac:dyDescent="0.65"/>
    <row r="43" spans="1:15" ht="33.6" x14ac:dyDescent="0.65"/>
    <row r="44" spans="1:15" ht="33.6" x14ac:dyDescent="0.65"/>
    <row r="45" spans="1:15" ht="33.6" x14ac:dyDescent="0.65">
      <c r="K45" s="3" t="s">
        <v>0</v>
      </c>
      <c r="L45" t="s">
        <v>96</v>
      </c>
      <c r="M45" t="s">
        <v>91</v>
      </c>
    </row>
    <row r="46" spans="1:15" x14ac:dyDescent="0.3">
      <c r="K46" s="2" t="s">
        <v>4</v>
      </c>
      <c r="L46">
        <v>1</v>
      </c>
      <c r="M46">
        <v>8.9</v>
      </c>
    </row>
    <row r="47" spans="1:15" x14ac:dyDescent="0.3">
      <c r="K47" s="2" t="s">
        <v>5</v>
      </c>
      <c r="L47">
        <v>1</v>
      </c>
      <c r="M47">
        <v>12.3</v>
      </c>
    </row>
    <row r="48" spans="1:15" x14ac:dyDescent="0.3">
      <c r="K48" s="2" t="s">
        <v>6</v>
      </c>
      <c r="L48">
        <v>1</v>
      </c>
      <c r="M48">
        <v>4.8</v>
      </c>
    </row>
    <row r="49" spans="1:13" x14ac:dyDescent="0.3">
      <c r="K49" s="2" t="s">
        <v>21</v>
      </c>
      <c r="L49">
        <v>1</v>
      </c>
      <c r="M49">
        <v>39.6</v>
      </c>
    </row>
    <row r="50" spans="1:13" x14ac:dyDescent="0.3">
      <c r="K50" s="2" t="s">
        <v>74</v>
      </c>
      <c r="L50">
        <v>1</v>
      </c>
      <c r="M50">
        <v>37.799999999999997</v>
      </c>
    </row>
    <row r="51" spans="1:13" x14ac:dyDescent="0.3">
      <c r="K51" s="2" t="s">
        <v>31</v>
      </c>
      <c r="L51">
        <v>1</v>
      </c>
      <c r="M51">
        <v>31.3</v>
      </c>
    </row>
    <row r="52" spans="1:13" x14ac:dyDescent="0.3">
      <c r="K52" s="2" t="s">
        <v>9</v>
      </c>
      <c r="L52">
        <v>1</v>
      </c>
      <c r="M52">
        <v>4.0999999999999996</v>
      </c>
    </row>
    <row r="53" spans="1:13" x14ac:dyDescent="0.3">
      <c r="K53" s="2" t="s">
        <v>23</v>
      </c>
      <c r="L53">
        <v>1</v>
      </c>
      <c r="M53">
        <v>11.2</v>
      </c>
    </row>
    <row r="54" spans="1:13" x14ac:dyDescent="0.3">
      <c r="K54" s="2" t="s">
        <v>32</v>
      </c>
      <c r="L54">
        <v>1</v>
      </c>
      <c r="M54">
        <v>21.6</v>
      </c>
    </row>
    <row r="55" spans="1:13" x14ac:dyDescent="0.3">
      <c r="K55" s="2" t="s">
        <v>66</v>
      </c>
      <c r="L55">
        <v>1</v>
      </c>
      <c r="M55">
        <v>13.7</v>
      </c>
    </row>
    <row r="56" spans="1:13" x14ac:dyDescent="0.3">
      <c r="K56" s="2" t="s">
        <v>24</v>
      </c>
      <c r="L56">
        <v>1</v>
      </c>
      <c r="M56">
        <v>33.4</v>
      </c>
    </row>
    <row r="57" spans="1:13" x14ac:dyDescent="0.3">
      <c r="K57" s="2" t="s">
        <v>25</v>
      </c>
      <c r="L57">
        <v>1</v>
      </c>
      <c r="M57">
        <v>13.3</v>
      </c>
    </row>
    <row r="58" spans="1:13" x14ac:dyDescent="0.3">
      <c r="K58" s="2" t="s">
        <v>12</v>
      </c>
      <c r="L58">
        <v>1</v>
      </c>
      <c r="M58">
        <v>16.8</v>
      </c>
    </row>
    <row r="59" spans="1:13" x14ac:dyDescent="0.3">
      <c r="K59" s="2" t="s">
        <v>26</v>
      </c>
      <c r="L59">
        <v>1</v>
      </c>
      <c r="M59">
        <v>9</v>
      </c>
    </row>
    <row r="60" spans="1:13" x14ac:dyDescent="0.3">
      <c r="A60" s="3" t="s">
        <v>0</v>
      </c>
      <c r="B60" t="s">
        <v>3</v>
      </c>
      <c r="C60" t="s">
        <v>92</v>
      </c>
      <c r="D60" t="s">
        <v>2</v>
      </c>
      <c r="K60" s="2" t="s">
        <v>27</v>
      </c>
      <c r="L60">
        <v>1</v>
      </c>
      <c r="M60">
        <v>18.100000000000001</v>
      </c>
    </row>
    <row r="61" spans="1:13" x14ac:dyDescent="0.3">
      <c r="A61" s="4" t="s">
        <v>4</v>
      </c>
      <c r="B61" s="3">
        <v>1</v>
      </c>
      <c r="C61" s="3">
        <v>1</v>
      </c>
      <c r="D61" s="3">
        <v>6.3355417300000001</v>
      </c>
      <c r="K61" s="2" t="s">
        <v>28</v>
      </c>
      <c r="L61">
        <v>1</v>
      </c>
      <c r="M61">
        <v>46.7</v>
      </c>
    </row>
    <row r="62" spans="1:13" x14ac:dyDescent="0.3">
      <c r="A62" s="2" t="s">
        <v>5</v>
      </c>
      <c r="B62">
        <v>1</v>
      </c>
      <c r="C62">
        <v>1</v>
      </c>
      <c r="D62">
        <v>5.8618826899999998</v>
      </c>
      <c r="K62" s="2" t="s">
        <v>29</v>
      </c>
      <c r="L62">
        <v>1</v>
      </c>
      <c r="M62">
        <v>28.4</v>
      </c>
    </row>
    <row r="63" spans="1:13" x14ac:dyDescent="0.3">
      <c r="A63" s="2" t="s">
        <v>6</v>
      </c>
      <c r="B63">
        <v>1</v>
      </c>
      <c r="C63">
        <v>1</v>
      </c>
      <c r="D63">
        <v>2.2610766899999999</v>
      </c>
      <c r="K63" s="2" t="s">
        <v>30</v>
      </c>
      <c r="L63">
        <v>1</v>
      </c>
      <c r="M63">
        <v>27.7</v>
      </c>
    </row>
    <row r="64" spans="1:13" x14ac:dyDescent="0.3">
      <c r="A64" s="2" t="s">
        <v>21</v>
      </c>
      <c r="B64">
        <v>1</v>
      </c>
      <c r="C64">
        <v>1</v>
      </c>
      <c r="D64">
        <v>4.3673214900000001</v>
      </c>
      <c r="K64" s="2" t="s">
        <v>14</v>
      </c>
      <c r="L64">
        <v>18</v>
      </c>
      <c r="M64">
        <v>21.038888888888888</v>
      </c>
    </row>
    <row r="65" spans="1:4" x14ac:dyDescent="0.3">
      <c r="A65" s="2" t="s">
        <v>74</v>
      </c>
      <c r="B65">
        <v>1</v>
      </c>
      <c r="C65">
        <v>1</v>
      </c>
      <c r="D65">
        <v>4.8411140399999999</v>
      </c>
    </row>
    <row r="66" spans="1:4" x14ac:dyDescent="0.3">
      <c r="A66" s="2" t="s">
        <v>31</v>
      </c>
      <c r="B66">
        <v>1</v>
      </c>
      <c r="C66">
        <v>1</v>
      </c>
      <c r="D66">
        <v>3.2246723199999998</v>
      </c>
    </row>
    <row r="67" spans="1:4" x14ac:dyDescent="0.3">
      <c r="A67" s="2" t="s">
        <v>9</v>
      </c>
      <c r="B67">
        <v>1</v>
      </c>
      <c r="C67">
        <v>1</v>
      </c>
      <c r="D67">
        <v>8.0773410800000001</v>
      </c>
    </row>
    <row r="68" spans="1:4" x14ac:dyDescent="0.3">
      <c r="A68" s="2" t="s">
        <v>23</v>
      </c>
      <c r="B68">
        <v>1</v>
      </c>
      <c r="C68">
        <v>1</v>
      </c>
      <c r="D68">
        <v>3.6426563299999999</v>
      </c>
    </row>
    <row r="69" spans="1:4" x14ac:dyDescent="0.3">
      <c r="A69" s="2" t="s">
        <v>32</v>
      </c>
      <c r="B69">
        <v>1</v>
      </c>
      <c r="C69">
        <v>1</v>
      </c>
      <c r="D69">
        <v>3.7911624900000001</v>
      </c>
    </row>
    <row r="70" spans="1:4" x14ac:dyDescent="0.3">
      <c r="A70" s="2" t="s">
        <v>66</v>
      </c>
      <c r="B70">
        <v>1</v>
      </c>
      <c r="C70">
        <v>1</v>
      </c>
      <c r="D70">
        <v>5.4492669100000004</v>
      </c>
    </row>
    <row r="71" spans="1:4" x14ac:dyDescent="0.3">
      <c r="A71" s="2" t="s">
        <v>24</v>
      </c>
      <c r="B71">
        <v>1</v>
      </c>
      <c r="C71">
        <v>1</v>
      </c>
      <c r="D71">
        <v>5.2026195499999996</v>
      </c>
    </row>
    <row r="72" spans="1:4" x14ac:dyDescent="0.3">
      <c r="A72" s="2" t="s">
        <v>25</v>
      </c>
      <c r="B72">
        <v>1</v>
      </c>
      <c r="C72">
        <v>1</v>
      </c>
      <c r="D72">
        <v>5.1951570499999997</v>
      </c>
    </row>
    <row r="73" spans="1:4" x14ac:dyDescent="0.3">
      <c r="A73" s="2" t="s">
        <v>12</v>
      </c>
      <c r="B73">
        <v>1</v>
      </c>
      <c r="C73">
        <v>1</v>
      </c>
      <c r="D73">
        <v>3.9422106700000001</v>
      </c>
    </row>
    <row r="74" spans="1:4" x14ac:dyDescent="0.3">
      <c r="A74" s="2" t="s">
        <v>26</v>
      </c>
      <c r="B74">
        <v>1</v>
      </c>
      <c r="C74">
        <v>1</v>
      </c>
      <c r="D74">
        <v>11.51630402</v>
      </c>
    </row>
    <row r="75" spans="1:4" x14ac:dyDescent="0.3">
      <c r="A75" s="2" t="s">
        <v>27</v>
      </c>
      <c r="B75">
        <v>1</v>
      </c>
      <c r="C75">
        <v>1</v>
      </c>
      <c r="D75">
        <v>3.6746616400000001</v>
      </c>
    </row>
    <row r="76" spans="1:4" x14ac:dyDescent="0.3">
      <c r="A76" s="2" t="s">
        <v>28</v>
      </c>
      <c r="B76">
        <v>1</v>
      </c>
      <c r="C76">
        <v>1</v>
      </c>
      <c r="D76">
        <v>11.037729260000001</v>
      </c>
    </row>
    <row r="77" spans="1:4" x14ac:dyDescent="0.3">
      <c r="A77" s="2" t="s">
        <v>29</v>
      </c>
      <c r="B77">
        <v>1</v>
      </c>
      <c r="C77">
        <v>1</v>
      </c>
      <c r="D77">
        <v>6.3228259099999997</v>
      </c>
    </row>
    <row r="78" spans="1:4" x14ac:dyDescent="0.3">
      <c r="A78" s="2" t="s">
        <v>30</v>
      </c>
      <c r="B78">
        <v>1</v>
      </c>
      <c r="C78">
        <v>1</v>
      </c>
      <c r="D78">
        <v>3.3024344399999999</v>
      </c>
    </row>
    <row r="79" spans="1:4" x14ac:dyDescent="0.3">
      <c r="A79" s="2" t="s">
        <v>14</v>
      </c>
      <c r="B79">
        <v>18</v>
      </c>
      <c r="C79">
        <v>18</v>
      </c>
      <c r="D79">
        <v>5.4469987950000007</v>
      </c>
    </row>
  </sheetData>
  <sortState xmlns:xlrd2="http://schemas.microsoft.com/office/spreadsheetml/2017/richdata2" columnSort="1" ref="A60:D71">
    <sortCondition descending="1" ref="B60"/>
  </sortState>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84E05-B9FD-4B76-99C9-720FF3CBE5ED}">
  <dimension ref="W21"/>
  <sheetViews>
    <sheetView zoomScale="66" zoomScaleNormal="66" workbookViewId="0">
      <selection activeCell="W21" sqref="W21"/>
    </sheetView>
  </sheetViews>
  <sheetFormatPr defaultRowHeight="14.4" x14ac:dyDescent="0.3"/>
  <sheetData>
    <row r="21" spans="23:23" x14ac:dyDescent="0.3">
      <c r="W21" t="s">
        <v>95</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3923E-3495-44BD-95BA-384BD27CE7C0}">
  <dimension ref="A1"/>
  <sheetViews>
    <sheetView tabSelected="1" topLeftCell="A2" zoomScale="69" zoomScaleNormal="69" workbookViewId="0">
      <selection activeCell="I45" sqref="I45"/>
    </sheetView>
  </sheetViews>
  <sheetFormatPr defaultRowHeight="14.4" x14ac:dyDescent="0.3"/>
  <cols>
    <col min="1" max="1" width="30.8867187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0D454E0-8870-4BE1-822A-98FFA323BF8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life expectancy (2)</vt:lpstr>
      <vt:lpstr>pivot1</vt:lpstr>
      <vt:lpstr>dashboard1</vt:lpstr>
      <vt:lpstr>final 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Nada Hussein</cp:lastModifiedBy>
  <dcterms:created xsi:type="dcterms:W3CDTF">2025-12-08T14:47:33Z</dcterms:created>
  <dcterms:modified xsi:type="dcterms:W3CDTF">2025-12-12T17:43:11Z</dcterms:modified>
</cp:coreProperties>
</file>